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dataentered11-2MG" sheetId="1" r:id="rId5"/>
    <sheet state="visible" name="all spp germ MCPeat" sheetId="2" r:id="rId6"/>
    <sheet state="visible" name="total planted" sheetId="3" r:id="rId7"/>
    <sheet state="visible" name="worksheet " sheetId="4" r:id="rId8"/>
    <sheet state="visible" name="8-4-25-MG" sheetId="5" r:id="rId9"/>
    <sheet state="visible" name="8-14-25-MG" sheetId="6" r:id="rId10"/>
    <sheet state="visible" name="8-14-25-EB" sheetId="7" r:id="rId11"/>
    <sheet state="visible" name="9-1-25-MG" sheetId="8" r:id="rId12"/>
    <sheet state="visible" name="9-1-25-LM" sheetId="9" r:id="rId13"/>
    <sheet state="visible" name="9-11-25-MG" sheetId="10" r:id="rId14"/>
    <sheet state="visible" name="9-11-25-KT" sheetId="11" r:id="rId15"/>
    <sheet state="visible" name="10-9-25-EB" sheetId="12" r:id="rId16"/>
    <sheet state="visible" name="10-23-25 AB" sheetId="13" r:id="rId17"/>
  </sheets>
  <definedNames/>
  <calcPr/>
</workbook>
</file>

<file path=xl/sharedStrings.xml><?xml version="1.0" encoding="utf-8"?>
<sst xmlns="http://schemas.openxmlformats.org/spreadsheetml/2006/main" count="1723" uniqueCount="409">
  <si>
    <t>Plot #</t>
  </si>
  <si>
    <r>
      <rPr>
        <rFont val="Arial"/>
        <b/>
        <color theme="1"/>
      </rPr>
      <t>Number of expected plants</t>
    </r>
    <r>
      <rPr>
        <rFont val="Arial"/>
        <color theme="1"/>
      </rPr>
      <t xml:space="preserve"> 
</t>
    </r>
  </si>
  <si>
    <t># survived 8-4</t>
  </si>
  <si>
    <t># survived 8-14</t>
  </si>
  <si>
    <t># survived 9-1</t>
  </si>
  <si>
    <t># survived 9-11</t>
  </si>
  <si>
    <t># survived 9-21</t>
  </si>
  <si>
    <t># survived 10-9</t>
  </si>
  <si>
    <t># survived 10-23</t>
  </si>
  <si>
    <t>average height 8-4</t>
  </si>
  <si>
    <t>average height 8-14</t>
  </si>
  <si>
    <t>average height 9-1</t>
  </si>
  <si>
    <t>average height 9-11</t>
  </si>
  <si>
    <t>average height 9-21</t>
  </si>
  <si>
    <t>average height 10-9</t>
  </si>
  <si>
    <t>average height 10-23</t>
  </si>
  <si>
    <t>average # of stems 8-4</t>
  </si>
  <si>
    <t>average # of stems 8-14</t>
  </si>
  <si>
    <t>average # of stems 9-1</t>
  </si>
  <si>
    <t>average # of stems 9-11</t>
  </si>
  <si>
    <t>average # of stems 9-21</t>
  </si>
  <si>
    <t>average # of stems 10-9</t>
  </si>
  <si>
    <t>average # of stems 10-23</t>
  </si>
  <si>
    <t>ACMI plot 1</t>
  </si>
  <si>
    <t>ACMI plot 2</t>
  </si>
  <si>
    <t>ACMI plot 3</t>
  </si>
  <si>
    <t>ACMI plot 4</t>
  </si>
  <si>
    <t xml:space="preserve">ACMI plot 5 </t>
  </si>
  <si>
    <t>ACMI plot 6</t>
  </si>
  <si>
    <t>ACMI plot 7</t>
  </si>
  <si>
    <t>ACMI plot 8</t>
  </si>
  <si>
    <t xml:space="preserve">ACMI plot 9 </t>
  </si>
  <si>
    <t xml:space="preserve">ACMI plot 10 </t>
  </si>
  <si>
    <t>ACMI plot 11</t>
  </si>
  <si>
    <t>ACMI plot 12</t>
  </si>
  <si>
    <t>ARLU plot 1</t>
  </si>
  <si>
    <t>ARLU plot 2</t>
  </si>
  <si>
    <t>ARLU plot 3</t>
  </si>
  <si>
    <t>ARLU plot 4</t>
  </si>
  <si>
    <t>ARLU plot 5</t>
  </si>
  <si>
    <t>ARLU plot 6</t>
  </si>
  <si>
    <t>ARLU plot 7</t>
  </si>
  <si>
    <t>ARLU plot 8</t>
  </si>
  <si>
    <t>ARLU plot 9</t>
  </si>
  <si>
    <t>ARLU plot 10</t>
  </si>
  <si>
    <t>ARLU plot 11</t>
  </si>
  <si>
    <t>ARLU plot 12</t>
  </si>
  <si>
    <t>HEVI plot 1</t>
  </si>
  <si>
    <t>HEVI plot 2</t>
  </si>
  <si>
    <t>HEVI plot 3</t>
  </si>
  <si>
    <t>HEVI plot 4</t>
  </si>
  <si>
    <t>HEVI plot 5</t>
  </si>
  <si>
    <t>HEVI plot 6</t>
  </si>
  <si>
    <t>HEVI plot 7</t>
  </si>
  <si>
    <t>HEVI plot 8</t>
  </si>
  <si>
    <t>HEVI plot 9</t>
  </si>
  <si>
    <t>HEVI plot 10</t>
  </si>
  <si>
    <t>HEVI plot 11</t>
  </si>
  <si>
    <t>HEVI plot 12</t>
  </si>
  <si>
    <t>BOGR plot 1</t>
  </si>
  <si>
    <t>BOGR plot 2</t>
  </si>
  <si>
    <t>BOGR plot 3</t>
  </si>
  <si>
    <t>BOGR plot 4</t>
  </si>
  <si>
    <t>BOGR plot 5</t>
  </si>
  <si>
    <t>BOGR plot 6</t>
  </si>
  <si>
    <t>BOGR plot 7</t>
  </si>
  <si>
    <t>BOGR plot 8</t>
  </si>
  <si>
    <t>BOGR plot 9</t>
  </si>
  <si>
    <t>BOGR plot 10</t>
  </si>
  <si>
    <t>BOGR plot 11</t>
  </si>
  <si>
    <t>BOGR plot 12</t>
  </si>
  <si>
    <t>HECO plot 1</t>
  </si>
  <si>
    <t>HECO plot 2</t>
  </si>
  <si>
    <t>HECO plot 3</t>
  </si>
  <si>
    <t>HECO plot 4</t>
  </si>
  <si>
    <t>HECO plot 5</t>
  </si>
  <si>
    <t>HECO plot 6</t>
  </si>
  <si>
    <t>HECO plot 7</t>
  </si>
  <si>
    <t>HECO plot 8</t>
  </si>
  <si>
    <t>HECO plot 9</t>
  </si>
  <si>
    <t>HECO plot 10</t>
  </si>
  <si>
    <t>HECO plot 11</t>
  </si>
  <si>
    <t>HECO plot 12</t>
  </si>
  <si>
    <t>NAVI plot 1</t>
  </si>
  <si>
    <t>NAVI plot 2</t>
  </si>
  <si>
    <t>NAVI plot 3</t>
  </si>
  <si>
    <t>NAVI plot 4</t>
  </si>
  <si>
    <t>NAVI plot 5</t>
  </si>
  <si>
    <t>NAVI plot 6</t>
  </si>
  <si>
    <t>NAVI plot 7</t>
  </si>
  <si>
    <t>NAVI plot 8</t>
  </si>
  <si>
    <t>NAVI plot 9</t>
  </si>
  <si>
    <t>NAVI plot 10</t>
  </si>
  <si>
    <t>NAVI plot 11</t>
  </si>
  <si>
    <t>NAVI plot 12</t>
  </si>
  <si>
    <t>PASM plot 1</t>
  </si>
  <si>
    <t>PASM plot 2</t>
  </si>
  <si>
    <t>PASM plot 3</t>
  </si>
  <si>
    <t>PASM plot 4</t>
  </si>
  <si>
    <t>PASM plot 5</t>
  </si>
  <si>
    <t>PASM plot 6</t>
  </si>
  <si>
    <t>PASM plot 7</t>
  </si>
  <si>
    <t>PASM plot 8</t>
  </si>
  <si>
    <t>PASM plot 9</t>
  </si>
  <si>
    <t>PASM plot 10</t>
  </si>
  <si>
    <t>PASM plot 11</t>
  </si>
  <si>
    <t>PASM plot 12</t>
  </si>
  <si>
    <t>Species</t>
  </si>
  <si>
    <t>Mineral - compost soil</t>
  </si>
  <si>
    <t>Peat</t>
  </si>
  <si>
    <t>ACMI</t>
  </si>
  <si>
    <t>ARLU</t>
  </si>
  <si>
    <t>HEVI</t>
  </si>
  <si>
    <t>SYER</t>
  </si>
  <si>
    <t>BOGR</t>
  </si>
  <si>
    <t>HECO</t>
  </si>
  <si>
    <t>NAVI</t>
  </si>
  <si>
    <t>PASM</t>
  </si>
  <si>
    <t xml:space="preserve">date planted 
# of individuals planted </t>
  </si>
  <si>
    <t>plot name</t>
  </si>
  <si>
    <t xml:space="preserve">SYER </t>
  </si>
  <si>
    <t>1-F-S3</t>
  </si>
  <si>
    <t>2-NF-S3</t>
  </si>
  <si>
    <t>3-F-peat</t>
  </si>
  <si>
    <t>4-NF-peat</t>
  </si>
  <si>
    <t>total plants per planting date</t>
  </si>
  <si>
    <t>5-NF-MC 7-10BOGR+8-14</t>
  </si>
  <si>
    <t>total plants 7-10-25</t>
  </si>
  <si>
    <t>6-F-peat 7-10BOGR+8-14</t>
  </si>
  <si>
    <t>total plants per soil treatment</t>
  </si>
  <si>
    <t>7-F-S3 8-14</t>
  </si>
  <si>
    <t>S3</t>
  </si>
  <si>
    <t>8-NF-S3 8-14</t>
  </si>
  <si>
    <t>total plants 8-14-25</t>
  </si>
  <si>
    <t>9-F peat 9-11</t>
  </si>
  <si>
    <t>peat</t>
  </si>
  <si>
    <t>10-NF peat 9-11</t>
  </si>
  <si>
    <t>11-F MC 9-11</t>
  </si>
  <si>
    <t>MC</t>
  </si>
  <si>
    <t>total plants 9-11-25</t>
  </si>
  <si>
    <t>12NF MC 9-11</t>
  </si>
  <si>
    <t>forbs</t>
  </si>
  <si>
    <t>grasses</t>
  </si>
  <si>
    <t xml:space="preserve">total plants planted </t>
  </si>
  <si>
    <t>JCOS-CoNPS Plant Growth Study 2025</t>
  </si>
  <si>
    <t>write species name here:</t>
  </si>
  <si>
    <t xml:space="preserve">date: </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</si>
  <si>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</si>
  <si>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</si>
  <si>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</si>
  <si>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</si>
  <si>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</si>
  <si>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</si>
  <si>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</si>
  <si>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</si>
  <si>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</si>
  <si>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t>
    </r>
  </si>
  <si>
    <t>Species Code Key</t>
  </si>
  <si>
    <t>Plot Code Key</t>
  </si>
  <si>
    <t>Site Acronyms</t>
  </si>
  <si>
    <t>Measurement Codes</t>
  </si>
  <si>
    <t>ACMI - Achillea millifolium
yarrow</t>
  </si>
  <si>
    <t>1-F-S3 7-10</t>
  </si>
  <si>
    <t>F = fertilized</t>
  </si>
  <si>
    <t>B = insect damage (bugs)</t>
  </si>
  <si>
    <t>SYER - Symphyotrichum 
ericoides white aster</t>
  </si>
  <si>
    <t>2-NF-S3 7-10</t>
  </si>
  <si>
    <t>NF = not fertilized</t>
  </si>
  <si>
    <t>H = evidence of herbivory</t>
  </si>
  <si>
    <t>ARLU - Artemisia ludoviciana 
white mountain sage/ silver wormwood</t>
  </si>
  <si>
    <t>3-F-peat 7-10</t>
  </si>
  <si>
    <t>peat = peat soil</t>
  </si>
  <si>
    <t>G = the plant has new leaves 
and stems emerging (growth)</t>
  </si>
  <si>
    <t>HEVI - Heterotheca villosa
hairy goldenaster</t>
  </si>
  <si>
    <t>4-NF-peat 7-10</t>
  </si>
  <si>
    <t>MC = mineral/
compost soil</t>
  </si>
  <si>
    <t>PASM - Pascopyrum smithii
western wheatgrass</t>
  </si>
  <si>
    <t>5-NF-MC 7-10BOGR 
and 8-14</t>
  </si>
  <si>
    <t>S3 = soil type 3
native soil/compost</t>
  </si>
  <si>
    <t xml:space="preserve">BOGR - Bouteloua gracilis
blue grama </t>
  </si>
  <si>
    <t>6-F-peat 7-10BOGR 
and 8-14</t>
  </si>
  <si>
    <t xml:space="preserve">NAVI - Nasella viridula
green needle </t>
  </si>
  <si>
    <t>HECO - Hesperostipa comata 
needle and thread grass</t>
  </si>
  <si>
    <t>Survival rate</t>
  </si>
  <si>
    <t xml:space="preserve">conclusion from rows 1-2: F did better than NF in S3. SYER is the exception but lots of these plants were apparently dug up by fauna. We also noticed that these plants were not planted as well, which might have contributed to the results. </t>
  </si>
  <si>
    <t xml:space="preserve">conclusion from rows 3-4: NF plants did better than F in peat. This is an interesting result because we know the peat is more nutrient-rich already. </t>
  </si>
  <si>
    <t xml:space="preserve">conclusion from rows 5-6: BOGR in MC did better than BOGR in peat, even though MC was F and peat was NF. Peat F plants did not do as well as peat NF in plots 3-4. Perhaps the F contributed to this BOGR result. Of note, this sample is large and the survival rates are dramatically different in MC soil v. peat. Not sure at this point if that is attributed to soil type or fertilization. It is worth noting that these two treatments survived while their compliment treatments did not (MC F and peat NF) when they were being hardened off coming out of the greenhouse. </t>
  </si>
  <si>
    <t>5-NF-MC</t>
  </si>
  <si>
    <t>6-F-peat</t>
  </si>
  <si>
    <t>count individuals</t>
  </si>
  <si>
    <t>plant height (cm)</t>
  </si>
  <si>
    <t xml:space="preserve"># of stems </t>
  </si>
  <si>
    <t>code (H, B, G)</t>
  </si>
  <si>
    <t>Average plant height</t>
  </si>
  <si>
    <t>average # of stems</t>
  </si>
  <si>
    <t>plot 1 ACMI</t>
  </si>
  <si>
    <t>x</t>
  </si>
  <si>
    <t>H</t>
  </si>
  <si>
    <t>G</t>
  </si>
  <si>
    <t>G, H</t>
  </si>
  <si>
    <t xml:space="preserve">G, H </t>
  </si>
  <si>
    <t>plot 1 ARLU</t>
  </si>
  <si>
    <t>X</t>
  </si>
  <si>
    <t>plot 1 HEVI</t>
  </si>
  <si>
    <t xml:space="preserve">first flower </t>
  </si>
  <si>
    <t>all stems are 1 but one advanced individual</t>
  </si>
  <si>
    <t>plot 1 SYER</t>
  </si>
  <si>
    <t>plot 1 BOGR</t>
  </si>
  <si>
    <t>plot 1 NAVI</t>
  </si>
  <si>
    <t>plot 1 PASM</t>
  </si>
  <si>
    <t>plot 2 ACMI</t>
  </si>
  <si>
    <t>plot 2 ARLU</t>
  </si>
  <si>
    <t>B</t>
  </si>
  <si>
    <t>plot 2 HEVI</t>
  </si>
  <si>
    <t>plot 2 SYER</t>
  </si>
  <si>
    <t>lots of plants dug up</t>
  </si>
  <si>
    <t>plot 2 BOGR</t>
  </si>
  <si>
    <t>plot 2 NAVI</t>
  </si>
  <si>
    <t>plot 2 PASM</t>
  </si>
  <si>
    <t>plot 3 HEVI</t>
  </si>
  <si>
    <t>plot 3 SYER</t>
  </si>
  <si>
    <t>plot 3 BOGR</t>
  </si>
  <si>
    <t>plot 3 HECO</t>
  </si>
  <si>
    <t>plot 3 NAVI</t>
  </si>
  <si>
    <t>plot 4 HEVI</t>
  </si>
  <si>
    <t>plot 4 SYER</t>
  </si>
  <si>
    <t>plot 4 BOGR</t>
  </si>
  <si>
    <t>plot 4 NAVI</t>
  </si>
  <si>
    <t>plot 5 BOGR</t>
  </si>
  <si>
    <t>plot 6 BOGR</t>
  </si>
  <si>
    <t>entered into master 11-2 byMG</t>
  </si>
  <si>
    <t>-</t>
  </si>
  <si>
    <t>/9</t>
  </si>
  <si>
    <t>/23</t>
  </si>
  <si>
    <t>/24</t>
  </si>
  <si>
    <t>/2</t>
  </si>
  <si>
    <t>/3</t>
  </si>
  <si>
    <t xml:space="preserve">8-14-25 data added </t>
  </si>
  <si>
    <t>write species name here: HEVI</t>
  </si>
  <si>
    <t>date: 8-14-25</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</si>
  <si>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</si>
  <si>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</si>
  <si>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</si>
  <si>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</si>
  <si>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</si>
  <si>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write species name here: ACMI</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</si>
  <si>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</si>
  <si>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</si>
  <si>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</si>
  <si>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</si>
  <si>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t>
    </r>
  </si>
  <si>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</si>
  <si>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</si>
  <si>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</si>
  <si>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</si>
  <si>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</si>
  <si>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write species name here: AMCI</t>
  </si>
  <si>
    <t>date: 8-4-25-</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</si>
  <si>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</si>
  <si>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</si>
  <si>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</si>
  <si>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</si>
  <si>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</si>
  <si>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write species name here: ARLU</t>
  </si>
  <si>
    <t>date: 8-4-25</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</si>
  <si>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</si>
  <si>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</si>
  <si>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</si>
  <si>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</si>
  <si>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</si>
  <si>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write species name here:HECO</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</si>
  <si>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</si>
  <si>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</si>
  <si>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</si>
  <si>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</si>
  <si>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</si>
  <si>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write species name here: NAVI</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</si>
  <si>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</si>
  <si>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</si>
  <si>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</si>
  <si>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</si>
  <si>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</si>
  <si>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write species name here: SYER</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</si>
  <si>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</si>
  <si>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</si>
  <si>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</si>
  <si>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</si>
  <si>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</si>
  <si>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write species name here: PASM</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</si>
  <si>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</si>
  <si>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</si>
  <si>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</si>
  <si>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</si>
  <si>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</si>
  <si>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write species name here: BOGR</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</si>
  <si>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</si>
  <si>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</si>
  <si>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</si>
  <si>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</si>
  <si>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</si>
  <si>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</si>
  <si>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</si>
  <si>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</si>
  <si>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</si>
  <si>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</si>
  <si>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9-1-25 data added</t>
  </si>
  <si>
    <t>date: 9/5/25</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</si>
  <si>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</si>
  <si>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</si>
  <si>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</si>
  <si>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</si>
  <si>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 flower (F)</t>
    </r>
  </si>
  <si>
    <t>F</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</si>
  <si>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</si>
  <si>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</si>
  <si>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</si>
  <si>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</si>
  <si>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 flower (F)</t>
    </r>
  </si>
  <si>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</si>
  <si>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</si>
  <si>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</si>
  <si>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</si>
  <si>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 flower (F)</t>
    </r>
  </si>
  <si>
    <t>9-11-25 data added</t>
  </si>
  <si>
    <t>date: 9/11/2025</t>
  </si>
  <si>
    <t xml:space="preserve">Plot # </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</si>
  <si>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</si>
  <si>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</si>
  <si>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</si>
  <si>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</si>
  <si>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</si>
  <si>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</si>
  <si>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</si>
  <si>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</si>
  <si>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</si>
  <si>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t>
    </r>
  </si>
  <si>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</si>
  <si>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</si>
  <si>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</si>
  <si>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</si>
  <si>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t>
    </r>
  </si>
  <si>
    <t>date: 10.9.25</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</si>
  <si>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</si>
  <si>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</si>
  <si>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</si>
  <si>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</si>
  <si>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 flower (F)</t>
    </r>
  </si>
  <si>
    <t>G,F,B</t>
  </si>
  <si>
    <t>G,F</t>
  </si>
  <si>
    <t>G,B</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</si>
  <si>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</si>
  <si>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</si>
  <si>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</si>
  <si>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</si>
  <si>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t>
    </r>
  </si>
  <si>
    <t>write species name here: HECO</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</si>
  <si>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</si>
  <si>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</si>
  <si>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</si>
  <si>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</si>
  <si>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t>
    </r>
  </si>
  <si>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</si>
  <si>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</si>
  <si>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</si>
  <si>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</si>
  <si>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or growth (G)</t>
    </r>
  </si>
  <si>
    <t>date: 10-23-25</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</si>
  <si>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</si>
  <si>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</si>
  <si>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</si>
  <si>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</si>
  <si>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</si>
  <si>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count</t>
  </si>
  <si>
    <t>average height</t>
  </si>
  <si>
    <t>*No ACMI in plots 3, 4, 5</t>
  </si>
  <si>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</si>
  <si>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</si>
  <si>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</si>
  <si>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</si>
  <si>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*No ARLU in plots 3-6</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</si>
  <si>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</si>
  <si>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</si>
  <si>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</si>
  <si>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</si>
  <si>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</si>
  <si>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*No HEVI planted in plots 5, 6, 10, 12</t>
  </si>
  <si>
    <t>*7 found dead</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</si>
  <si>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</si>
  <si>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</si>
  <si>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</si>
  <si>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</si>
  <si>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</si>
  <si>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</si>
  <si>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</si>
  <si>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</si>
  <si>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</si>
  <si>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</si>
  <si>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</si>
  <si>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</si>
  <si>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</si>
  <si>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</si>
  <si>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</si>
  <si>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*No NAVI found in plots 2, 3, 6, 9, 10, 11, 12</t>
  </si>
  <si>
    <r>
      <rPr>
        <rFont val="Arial"/>
        <b/>
        <color theme="1"/>
      </rPr>
      <t>Number of expected plants</t>
    </r>
    <r>
      <rPr>
        <rFont val="Arial"/>
        <color theme="1"/>
      </rPr>
      <t xml:space="preserve"> 
1. write this in from 7-10-25 tab
</t>
    </r>
  </si>
  <si>
    <r>
      <rPr>
        <rFont val="Arial"/>
        <b/>
        <color theme="1"/>
      </rPr>
      <t>Count individuals</t>
    </r>
    <r>
      <rPr>
        <rFont val="Arial"/>
        <color theme="1"/>
      </rPr>
      <t xml:space="preserve">
1. write species code here. 
One individual per row. 
2. stick with one species
until it is complete. 
</t>
    </r>
  </si>
  <si>
    <r>
      <rPr>
        <rFont val="Arial"/>
        <b/>
        <color theme="1"/>
      </rPr>
      <t>Plant height (cm)</t>
    </r>
    <r>
      <rPr>
        <rFont val="Arial"/>
        <color theme="1"/>
      </rPr>
      <t xml:space="preserve">
1. pull tallest stem 
straight up
2. measure it's length</t>
    </r>
  </si>
  <si>
    <r>
      <rPr>
        <rFont val="Arial"/>
        <b/>
        <color theme="1"/>
      </rPr>
      <t xml:space="preserve">Number
of stems
</t>
    </r>
    <r>
      <rPr>
        <rFont val="Arial"/>
        <color theme="1"/>
      </rPr>
      <t xml:space="preserve">1. count how many 
stems/individual 
*forbs only </t>
    </r>
  </si>
  <si>
    <r>
      <rPr>
        <rFont val="Arial"/>
        <b/>
        <color theme="1"/>
      </rPr>
      <t xml:space="preserve">Code 
</t>
    </r>
    <r>
      <rPr>
        <rFont val="Arial"/>
        <b val="0"/>
        <color theme="1"/>
      </rPr>
      <t>1. Add B, H, or G if you see insect damage (B), herbivory (H), growth (G), flower (F)</t>
    </r>
  </si>
  <si>
    <t>*No PASM found in 1, 3-5, 9-12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</si>
</sst>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d-yy"/>
    <numFmt numFmtId="166" formatCode="0.0000"/>
  </numFmts>
  <fonts count="7">
    <font>
      <sz val="10.0"/>
      <color rgb="FF000000"/>
      <name val="Arial"/>
      <scheme val="minor"/>
    </font>
    <font>
      <b/>
      <color theme="1"/>
      <name val="Arial"/>
      <scheme val="minor"/>
    </font>
    <font>
      <color theme="1"/>
      <name val="Arial"/>
      <scheme val="minor"/>
    </font>
    <font>
      <b/>
      <color rgb="FF000000"/>
      <name val="Arial"/>
      <scheme val="minor"/>
    </font>
    <font/>
    <font>
      <color theme="1"/>
      <name val="Arial"/>
    </font>
    <font>
      <b/>
      <color theme="1"/>
      <name val="Arial"/>
    </font>
  </fonts>
  <fills count="11">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
      <patternFill patternType="solid">
        <fgColor rgb="FF00FF00"/>
        <bgColor rgb="FF00FF00"/>
      </patternFill>
    </fill>
    <fill>
      <patternFill patternType="solid">
        <fgColor rgb="FFE6B8AF"/>
        <bgColor rgb="FFE6B8AF"/>
      </patternFill>
    </fill>
    <fill>
      <patternFill patternType="solid">
        <fgColor rgb="FFCFE2F3"/>
        <bgColor rgb="FFCFE2F3"/>
      </patternFill>
    </fill>
    <fill>
      <patternFill patternType="solid">
        <fgColor rgb="FFC9DAF8"/>
        <bgColor rgb="FFC9DAF8"/>
      </patternFill>
    </fill>
    <fill>
      <patternFill patternType="solid">
        <fgColor rgb="FFFFFF00"/>
        <bgColor rgb="FFFFFF00"/>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0" fontId="1" numFmtId="0" xfId="0" applyAlignment="1" applyBorder="1" applyFont="1">
      <alignment readingOrder="0" vertical="top"/>
    </xf>
    <xf borderId="1" fillId="0" fontId="2" numFmtId="0" xfId="0" applyAlignment="1" applyBorder="1" applyFont="1">
      <alignment horizontal="left" readingOrder="0" shrinkToFit="0" vertical="top" wrapText="1"/>
    </xf>
    <xf borderId="1" fillId="2" fontId="1" numFmtId="0" xfId="0" applyAlignment="1" applyBorder="1" applyFill="1" applyFont="1">
      <alignment horizontal="left" readingOrder="0" shrinkToFit="0" vertical="top" wrapText="1"/>
    </xf>
    <xf borderId="1" fillId="3" fontId="1" numFmtId="0" xfId="0" applyAlignment="1" applyBorder="1" applyFill="1" applyFont="1">
      <alignment horizontal="left" readingOrder="0" shrinkToFit="0" vertical="top" wrapText="1"/>
    </xf>
    <xf borderId="1" fillId="3" fontId="1" numFmtId="164" xfId="0" applyAlignment="1" applyBorder="1" applyFont="1" applyNumberFormat="1">
      <alignment horizontal="left" readingOrder="0" shrinkToFit="0" vertical="top" wrapText="1"/>
    </xf>
    <xf borderId="1" fillId="0" fontId="1" numFmtId="0" xfId="0" applyAlignment="1" applyBorder="1" applyFont="1">
      <alignment horizontal="left" readingOrder="0" shrinkToFit="0" vertical="top" wrapText="1"/>
    </xf>
    <xf borderId="1" fillId="4" fontId="1" numFmtId="0" xfId="0" applyAlignment="1" applyBorder="1" applyFill="1" applyFont="1">
      <alignment horizontal="left" readingOrder="0" shrinkToFit="0" vertical="top" wrapText="1"/>
    </xf>
    <xf borderId="0" fillId="0" fontId="2" numFmtId="0" xfId="0" applyAlignment="1" applyFont="1">
      <alignment readingOrder="0"/>
    </xf>
    <xf borderId="0" fillId="2" fontId="2" numFmtId="0" xfId="0" applyAlignment="1" applyFont="1">
      <alignment readingOrder="0"/>
    </xf>
    <xf borderId="0" fillId="2" fontId="2" numFmtId="0" xfId="0" applyFont="1"/>
    <xf borderId="0" fillId="2" fontId="2" numFmtId="1" xfId="0" applyAlignment="1" applyFont="1" applyNumberFormat="1">
      <alignment readingOrder="0"/>
    </xf>
    <xf borderId="0" fillId="3" fontId="2" numFmtId="164" xfId="0" applyAlignment="1" applyFont="1" applyNumberFormat="1">
      <alignment readingOrder="0"/>
    </xf>
    <xf borderId="0" fillId="3" fontId="2" numFmtId="0" xfId="0" applyAlignment="1" applyFont="1">
      <alignment readingOrder="0"/>
    </xf>
    <xf borderId="0" fillId="0" fontId="2" numFmtId="164" xfId="0" applyFont="1" applyNumberFormat="1"/>
    <xf borderId="0" fillId="4" fontId="2" numFmtId="164" xfId="0" applyFont="1" applyNumberFormat="1"/>
    <xf borderId="0" fillId="4" fontId="2" numFmtId="0" xfId="0" applyFont="1"/>
    <xf borderId="0" fillId="4" fontId="2" numFmtId="0" xfId="0" applyAlignment="1" applyFont="1">
      <alignment readingOrder="0"/>
    </xf>
    <xf borderId="0" fillId="3" fontId="2" numFmtId="0" xfId="0" applyFont="1"/>
    <xf borderId="0" fillId="2" fontId="2" numFmtId="164" xfId="0" applyFont="1" applyNumberFormat="1"/>
    <xf borderId="0" fillId="3" fontId="2" numFmtId="164" xfId="0" applyFont="1" applyNumberFormat="1"/>
    <xf borderId="0" fillId="0" fontId="2" numFmtId="164" xfId="0" applyAlignment="1" applyFont="1" applyNumberFormat="1">
      <alignment readingOrder="0"/>
    </xf>
    <xf borderId="0" fillId="0" fontId="2" numFmtId="0" xfId="0" applyFont="1"/>
    <xf borderId="0" fillId="0" fontId="2" numFmtId="1" xfId="0" applyAlignment="1" applyFont="1" applyNumberFormat="1">
      <alignment readingOrder="0"/>
    </xf>
    <xf borderId="0" fillId="0" fontId="3" numFmtId="0" xfId="0" applyAlignment="1" applyFont="1">
      <alignment readingOrder="0"/>
    </xf>
    <xf borderId="0" fillId="0" fontId="3" numFmtId="2" xfId="0" applyAlignment="1" applyFont="1" applyNumberFormat="1">
      <alignment readingOrder="0"/>
    </xf>
    <xf borderId="0" fillId="0" fontId="3" numFmtId="2" xfId="0" applyFont="1" applyNumberFormat="1"/>
    <xf borderId="0" fillId="0" fontId="2" numFmtId="2" xfId="0" applyFont="1" applyNumberFormat="1"/>
    <xf borderId="1" fillId="0" fontId="2" numFmtId="0" xfId="0" applyAlignment="1" applyBorder="1" applyFont="1">
      <alignment readingOrder="0"/>
    </xf>
    <xf borderId="0" fillId="0" fontId="2" numFmtId="165" xfId="0" applyAlignment="1" applyFont="1" applyNumberFormat="1">
      <alignment readingOrder="0"/>
    </xf>
    <xf borderId="1" fillId="0" fontId="2" numFmtId="1" xfId="0" applyAlignment="1" applyBorder="1" applyFont="1" applyNumberFormat="1">
      <alignment readingOrder="0"/>
    </xf>
    <xf borderId="1" fillId="0" fontId="2" numFmtId="1" xfId="0" applyBorder="1" applyFont="1" applyNumberFormat="1"/>
    <xf borderId="1" fillId="0" fontId="2" numFmtId="1" xfId="0" applyAlignment="1" applyBorder="1" applyFont="1" applyNumberFormat="1">
      <alignment horizontal="right" readingOrder="0"/>
    </xf>
    <xf borderId="0" fillId="0" fontId="2" numFmtId="0" xfId="0" applyAlignment="1" applyFont="1">
      <alignment readingOrder="0" shrinkToFit="0" wrapText="1"/>
    </xf>
    <xf borderId="0" fillId="0" fontId="2" numFmtId="1" xfId="0" applyFont="1" applyNumberFormat="1"/>
    <xf borderId="1" fillId="0" fontId="2" numFmtId="0" xfId="0" applyBorder="1" applyFont="1"/>
    <xf borderId="0" fillId="0" fontId="1" numFmtId="0" xfId="0" applyAlignment="1" applyFont="1">
      <alignment readingOrder="0"/>
    </xf>
    <xf borderId="2" fillId="0" fontId="1" numFmtId="0" xfId="0" applyAlignment="1" applyBorder="1" applyFont="1">
      <alignment readingOrder="0"/>
    </xf>
    <xf borderId="3" fillId="0" fontId="4" numFmtId="0" xfId="0" applyBorder="1" applyFont="1"/>
    <xf borderId="4" fillId="0" fontId="4" numFmtId="0" xfId="0" applyBorder="1" applyFont="1"/>
    <xf borderId="5" fillId="0" fontId="1" numFmtId="0" xfId="0" applyAlignment="1" applyBorder="1" applyFont="1">
      <alignment readingOrder="0"/>
    </xf>
    <xf borderId="5" fillId="0" fontId="4" numFmtId="0" xfId="0" applyBorder="1" applyFont="1"/>
    <xf borderId="6" fillId="0" fontId="4" numFmtId="0" xfId="0" applyBorder="1" applyFont="1"/>
    <xf borderId="0" fillId="0" fontId="1" numFmtId="0" xfId="0" applyAlignment="1" applyFont="1">
      <alignment readingOrder="0" vertical="top"/>
    </xf>
    <xf borderId="1" fillId="0" fontId="1" numFmtId="0" xfId="0" applyAlignment="1" applyBorder="1" applyFont="1">
      <alignment readingOrder="0"/>
    </xf>
    <xf borderId="1" fillId="4" fontId="2" numFmtId="0" xfId="0" applyAlignment="1" applyBorder="1" applyFont="1">
      <alignment readingOrder="0" shrinkToFit="0" wrapText="1"/>
    </xf>
    <xf borderId="1" fillId="4" fontId="2" numFmtId="0" xfId="0" applyAlignment="1" applyBorder="1" applyFont="1">
      <alignment readingOrder="0"/>
    </xf>
    <xf borderId="7" fillId="0" fontId="2" numFmtId="0" xfId="0" applyAlignment="1" applyBorder="1" applyFont="1">
      <alignment readingOrder="0" shrinkToFit="0" wrapText="1"/>
    </xf>
    <xf borderId="1" fillId="0" fontId="2" numFmtId="2" xfId="0" applyAlignment="1" applyBorder="1" applyFont="1" applyNumberFormat="1">
      <alignment readingOrder="0"/>
    </xf>
    <xf borderId="8" fillId="0" fontId="4" numFmtId="0" xfId="0" applyBorder="1" applyFont="1"/>
    <xf borderId="9" fillId="0" fontId="4" numFmtId="0" xfId="0" applyBorder="1" applyFont="1"/>
    <xf borderId="1" fillId="5" fontId="2" numFmtId="0" xfId="0" applyAlignment="1" applyBorder="1" applyFill="1" applyFont="1">
      <alignment readingOrder="0" shrinkToFit="0" wrapText="1"/>
    </xf>
    <xf borderId="1" fillId="5" fontId="2" numFmtId="0" xfId="0" applyAlignment="1" applyBorder="1" applyFont="1">
      <alignment readingOrder="0"/>
    </xf>
    <xf borderId="1" fillId="0" fontId="2" numFmtId="2" xfId="0" applyBorder="1" applyFont="1" applyNumberFormat="1"/>
    <xf borderId="0" fillId="0" fontId="2" numFmtId="0" xfId="0" applyAlignment="1" applyFont="1">
      <alignment shrinkToFit="0" wrapText="1"/>
    </xf>
    <xf borderId="0" fillId="0" fontId="2" numFmtId="166" xfId="0" applyFont="1" applyNumberFormat="1"/>
    <xf borderId="0" fillId="5" fontId="2" numFmtId="0" xfId="0" applyAlignment="1" applyFont="1">
      <alignment readingOrder="0"/>
    </xf>
    <xf borderId="0" fillId="5" fontId="2" numFmtId="0" xfId="0" applyFont="1"/>
    <xf borderId="0" fillId="5" fontId="2" numFmtId="0" xfId="0" applyAlignment="1" applyFont="1">
      <alignment shrinkToFit="0" wrapText="1"/>
    </xf>
    <xf borderId="10" fillId="0" fontId="2" numFmtId="0" xfId="0" applyAlignment="1" applyBorder="1" applyFont="1">
      <alignment readingOrder="0"/>
    </xf>
    <xf borderId="10" fillId="0" fontId="2" numFmtId="0" xfId="0" applyBorder="1" applyFont="1"/>
    <xf borderId="10" fillId="0" fontId="2" numFmtId="0" xfId="0" applyAlignment="1" applyBorder="1" applyFont="1">
      <alignment shrinkToFit="0" wrapText="1"/>
    </xf>
    <xf borderId="5" fillId="0" fontId="2" numFmtId="0" xfId="0" applyAlignment="1" applyBorder="1" applyFont="1">
      <alignment readingOrder="0"/>
    </xf>
    <xf borderId="5" fillId="0" fontId="2" numFmtId="0" xfId="0" applyBorder="1" applyFont="1"/>
    <xf borderId="5" fillId="0" fontId="2" numFmtId="164" xfId="0" applyBorder="1" applyFont="1" applyNumberFormat="1"/>
    <xf borderId="5" fillId="0" fontId="2" numFmtId="0" xfId="0" applyAlignment="1" applyBorder="1" applyFont="1">
      <alignment shrinkToFit="0" wrapText="1"/>
    </xf>
    <xf borderId="5" fillId="0" fontId="2" numFmtId="2" xfId="0" applyBorder="1" applyFont="1" applyNumberFormat="1"/>
    <xf borderId="1" fillId="6" fontId="2" numFmtId="4" xfId="0" applyAlignment="1" applyBorder="1" applyFill="1" applyFont="1" applyNumberFormat="1">
      <alignment readingOrder="0"/>
    </xf>
    <xf borderId="1" fillId="0" fontId="2" numFmtId="4" xfId="0" applyAlignment="1" applyBorder="1" applyFont="1" applyNumberFormat="1">
      <alignment readingOrder="0"/>
    </xf>
    <xf borderId="1" fillId="4" fontId="2" numFmtId="4" xfId="0" applyAlignment="1" applyBorder="1" applyFont="1" applyNumberFormat="1">
      <alignment readingOrder="0"/>
    </xf>
    <xf borderId="1" fillId="5" fontId="2" numFmtId="4" xfId="0" applyAlignment="1" applyBorder="1" applyFont="1" applyNumberFormat="1">
      <alignment readingOrder="0"/>
    </xf>
    <xf borderId="1" fillId="0" fontId="2" numFmtId="4" xfId="0" applyBorder="1" applyFont="1" applyNumberFormat="1"/>
    <xf borderId="1" fillId="6" fontId="2" numFmtId="4" xfId="0" applyBorder="1" applyFont="1" applyNumberFormat="1"/>
    <xf borderId="0" fillId="0" fontId="2" numFmtId="4" xfId="0" applyAlignment="1" applyFont="1" applyNumberFormat="1">
      <alignment readingOrder="0"/>
    </xf>
    <xf borderId="0" fillId="6" fontId="2" numFmtId="4" xfId="0" applyAlignment="1" applyFont="1" applyNumberFormat="1">
      <alignment readingOrder="0"/>
    </xf>
    <xf borderId="0" fillId="0" fontId="2" numFmtId="4" xfId="0" applyFont="1" applyNumberFormat="1"/>
    <xf borderId="0" fillId="0" fontId="2" numFmtId="3" xfId="0" applyAlignment="1" applyFont="1" applyNumberFormat="1">
      <alignment readingOrder="0"/>
    </xf>
    <xf borderId="0" fillId="0" fontId="2" numFmtId="3" xfId="0" applyFont="1" applyNumberFormat="1"/>
    <xf borderId="0" fillId="6" fontId="2" numFmtId="0" xfId="0" applyAlignment="1" applyFont="1">
      <alignment readingOrder="0"/>
    </xf>
    <xf borderId="0" fillId="0" fontId="2"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1" fillId="0" fontId="5" numFmtId="0" xfId="0" applyAlignment="1" applyBorder="1" applyFont="1">
      <alignment horizontal="right" vertical="bottom"/>
    </xf>
    <xf borderId="1" fillId="7" fontId="2" numFmtId="4" xfId="0" applyAlignment="1" applyBorder="1" applyFill="1" applyFont="1" applyNumberFormat="1">
      <alignment readingOrder="0"/>
    </xf>
    <xf borderId="0" fillId="7" fontId="2" numFmtId="2" xfId="0" applyFont="1" applyNumberFormat="1"/>
    <xf borderId="1" fillId="7" fontId="2" numFmtId="4" xfId="0" applyAlignment="1" applyBorder="1" applyFont="1" applyNumberFormat="1">
      <alignment horizontal="right" readingOrder="0"/>
    </xf>
    <xf borderId="0" fillId="7" fontId="2" numFmtId="4" xfId="0" applyAlignment="1" applyFont="1" applyNumberFormat="1">
      <alignment readingOrder="0"/>
    </xf>
    <xf borderId="0" fillId="7" fontId="2" numFmtId="0" xfId="0" applyAlignment="1" applyFont="1">
      <alignment readingOrder="0"/>
    </xf>
    <xf borderId="0" fillId="7" fontId="2" numFmtId="0" xfId="0" applyFont="1"/>
    <xf borderId="1" fillId="0" fontId="2" numFmtId="4" xfId="0" applyAlignment="1" applyBorder="1" applyFont="1" applyNumberFormat="1">
      <alignment horizontal="right" readingOrder="0"/>
    </xf>
    <xf borderId="1" fillId="8" fontId="2" numFmtId="0" xfId="0" applyAlignment="1" applyBorder="1" applyFill="1" applyFont="1">
      <alignment readingOrder="0"/>
    </xf>
    <xf borderId="0" fillId="9" fontId="2" numFmtId="0" xfId="0" applyAlignment="1" applyFill="1" applyFont="1">
      <alignment readingOrder="0"/>
    </xf>
    <xf borderId="0" fillId="0" fontId="6" numFmtId="0" xfId="0" applyAlignment="1" applyFont="1">
      <alignment vertical="bottom"/>
    </xf>
    <xf borderId="2" fillId="0" fontId="6" numFmtId="0" xfId="0" applyAlignment="1" applyBorder="1" applyFont="1">
      <alignment vertical="bottom"/>
    </xf>
    <xf borderId="5" fillId="0" fontId="5" numFmtId="0" xfId="0" applyAlignment="1" applyBorder="1" applyFont="1">
      <alignment vertical="bottom"/>
    </xf>
    <xf borderId="0" fillId="0" fontId="6" numFmtId="0" xfId="0" applyAlignment="1" applyFont="1">
      <alignment vertical="top"/>
    </xf>
    <xf borderId="1" fillId="0" fontId="5" numFmtId="0" xfId="0" applyAlignment="1" applyBorder="1" applyFont="1">
      <alignment shrinkToFit="0" vertical="top" wrapText="1"/>
    </xf>
    <xf borderId="1" fillId="0" fontId="6" numFmtId="0" xfId="0" applyAlignment="1" applyBorder="1" applyFont="1">
      <alignment shrinkToFit="0" vertical="top" wrapText="1"/>
    </xf>
    <xf borderId="1" fillId="0" fontId="5" numFmtId="0" xfId="0" applyAlignment="1" applyBorder="1" applyFont="1">
      <alignment vertical="bottom"/>
    </xf>
    <xf borderId="1" fillId="0" fontId="5" numFmtId="0" xfId="0" applyAlignment="1" applyBorder="1" applyFont="1">
      <alignment horizontal="right" readingOrder="0" vertical="bottom"/>
    </xf>
    <xf borderId="1" fillId="0" fontId="5" numFmtId="0" xfId="0" applyAlignment="1" applyBorder="1" applyFont="1">
      <alignment readingOrder="0" vertical="bottom"/>
    </xf>
    <xf borderId="1" fillId="0" fontId="2" numFmtId="0" xfId="0" applyAlignment="1" applyBorder="1" applyFont="1">
      <alignment horizontal="right" readingOrder="0"/>
    </xf>
    <xf borderId="0" fillId="10" fontId="5" numFmtId="164" xfId="0" applyAlignment="1" applyFill="1" applyFont="1" applyNumberFormat="1">
      <alignment vertical="bottom"/>
    </xf>
    <xf borderId="0" fillId="10" fontId="5" numFmtId="0" xfId="0" applyAlignment="1" applyFont="1">
      <alignment vertical="bottom"/>
    </xf>
    <xf borderId="1" fillId="0" fontId="2" numFmtId="0" xfId="0" applyAlignment="1" applyBorder="1" applyFont="1">
      <alignment horizontal="right" readingOrder="0" shrinkToFit="0" vertical="top" wrapText="1"/>
    </xf>
    <xf borderId="0" fillId="0" fontId="2" numFmtId="0" xfId="0" applyAlignment="1" applyFont="1">
      <alignment horizontal="right"/>
    </xf>
    <xf borderId="0" fillId="10" fontId="2" numFmtId="0" xfId="0" applyAlignment="1" applyFont="1">
      <alignment readingOrder="0" shrinkToFit="0" wrapText="0"/>
    </xf>
    <xf borderId="0" fillId="10" fontId="2" numFmtId="0" xfId="0" applyFont="1"/>
    <xf borderId="0" fillId="10" fontId="2" numFmtId="164" xfId="0" applyFont="1" applyNumberFormat="1"/>
    <xf borderId="0" fillId="10" fontId="2" numFmtId="164" xfId="0" applyAlignment="1" applyFont="1" applyNumberFormat="1">
      <alignment readingOrder="0"/>
    </xf>
    <xf borderId="0" fillId="10" fontId="5" numFmtId="0" xfId="0" applyAlignment="1" applyFont="1">
      <alignment readingOrder="0" vertical="bottom"/>
    </xf>
    <xf borderId="1" fillId="0" fontId="2" numFmtId="164" xfId="0" applyAlignment="1" applyBorder="1" applyFont="1" applyNumberFormat="1">
      <alignment readingOrder="0"/>
    </xf>
    <xf borderId="1" fillId="0" fontId="2" numFmtId="0" xfId="0" applyAlignment="1" applyBorder="1" applyFont="1">
      <alignment horizontal="right"/>
    </xf>
    <xf borderId="0" fillId="10" fontId="2" numFmtId="0" xfId="0" applyAlignment="1" applyFont="1">
      <alignment readingOrder="0"/>
    </xf>
    <xf borderId="2" fillId="0" fontId="6" numFmtId="0" xfId="0" applyAlignment="1" applyBorder="1" applyFont="1">
      <alignment readingOrder="0" vertical="bottom"/>
    </xf>
    <xf borderId="2" fillId="0" fontId="5" numFmtId="0" xfId="0" applyAlignment="1" applyBorder="1" applyFont="1">
      <alignment vertical="bottom"/>
    </xf>
    <xf borderId="1" fillId="0" fontId="6"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MC soil and Peat</a:t>
            </a:r>
          </a:p>
        </c:rich>
      </c:tx>
      <c:overlay val="0"/>
    </c:title>
    <c:plotArea>
      <c:layout/>
      <c:barChart>
        <c:barDir val="col"/>
        <c:ser>
          <c:idx val="0"/>
          <c:order val="0"/>
          <c:tx>
            <c:strRef>
              <c:f>'all spp germ MCPeat'!$B$1</c:f>
            </c:strRef>
          </c:tx>
          <c:spPr>
            <a:solidFill>
              <a:srgbClr val="7F6000"/>
            </a:solidFill>
            <a:ln cmpd="sng">
              <a:solidFill>
                <a:srgbClr val="000000"/>
              </a:solidFill>
            </a:ln>
          </c:spPr>
          <c:dPt>
            <c:idx val="3"/>
            <c:spPr>
              <a:solidFill>
                <a:srgbClr val="7F6000"/>
              </a:solidFill>
              <a:ln cmpd="sng">
                <a:solidFill>
                  <a:srgbClr val="000000"/>
                </a:solidFill>
              </a:ln>
            </c:spPr>
          </c:dPt>
          <c:dPt>
            <c:idx val="4"/>
          </c:dPt>
          <c:cat>
            <c:strRef>
              <c:f>'all spp germ MCPeat'!$A$2:$A$9</c:f>
            </c:strRef>
          </c:cat>
          <c:val>
            <c:numRef>
              <c:f>'all spp germ MCPeat'!$B$2:$B$9</c:f>
              <c:numCache/>
            </c:numRef>
          </c:val>
        </c:ser>
        <c:ser>
          <c:idx val="1"/>
          <c:order val="1"/>
          <c:tx>
            <c:strRef>
              <c:f>'all spp germ MCPeat'!$C$1</c:f>
            </c:strRef>
          </c:tx>
          <c:spPr>
            <a:solidFill>
              <a:srgbClr val="38761D"/>
            </a:solidFill>
            <a:ln cmpd="sng">
              <a:solidFill>
                <a:srgbClr val="000000"/>
              </a:solidFill>
            </a:ln>
          </c:spPr>
          <c:dPt>
            <c:idx val="4"/>
          </c:dPt>
          <c:cat>
            <c:strRef>
              <c:f>'all spp germ MCPeat'!$A$2:$A$9</c:f>
            </c:strRef>
          </c:cat>
          <c:val>
            <c:numRef>
              <c:f>'all spp germ MCPeat'!$C$2:$C$9</c:f>
              <c:numCache/>
            </c:numRef>
          </c:val>
        </c:ser>
        <c:axId val="1012318989"/>
        <c:axId val="317872985"/>
      </c:barChart>
      <c:catAx>
        <c:axId val="10123189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Species</a:t>
                </a:r>
              </a:p>
            </c:rich>
          </c:tx>
          <c:overlay val="0"/>
        </c:title>
        <c:numFmt formatCode="General" sourceLinked="1"/>
        <c:majorTickMark val="none"/>
        <c:minorTickMark val="none"/>
        <c:spPr/>
        <c:txPr>
          <a:bodyPr/>
          <a:lstStyle/>
          <a:p>
            <a:pPr lvl="0">
              <a:defRPr b="0">
                <a:solidFill>
                  <a:srgbClr val="000000"/>
                </a:solidFill>
                <a:latin typeface="+mn-lt"/>
              </a:defRPr>
            </a:pPr>
          </a:p>
        </c:txPr>
        <c:crossAx val="317872985"/>
      </c:catAx>
      <c:valAx>
        <c:axId val="3178729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2318989"/>
      </c:valAx>
    </c:plotArea>
    <c:legend>
      <c:legendPos val="r"/>
      <c:legendEntry>
        <c:idx val="0"/>
        <c:txPr>
          <a:bodyPr/>
          <a:lstStyle/>
          <a:p>
            <a:pPr lvl="0">
              <a:defRPr>
                <a:solidFill>
                  <a:srgbClr val="7F6000"/>
                </a:solidFill>
              </a:defRPr>
            </a:pPr>
          </a:p>
        </c:txPr>
      </c:legendEntry>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'total planted'!$C$14</c:f>
            </c:strRef>
          </c:tx>
          <c:spPr>
            <a:solidFill>
              <a:schemeClr val="accent1"/>
            </a:solidFill>
            <a:ln cmpd="sng">
              <a:solidFill>
                <a:srgbClr val="000000"/>
              </a:solidFill>
            </a:ln>
          </c:spPr>
          <c:val>
            <c:numRef>
              <c:f>'total planted'!$C$15</c:f>
              <c:numCache/>
            </c:numRef>
          </c:val>
        </c:ser>
        <c:ser>
          <c:idx val="1"/>
          <c:order val="1"/>
          <c:tx>
            <c:strRef>
              <c:f>'total planted'!$D$14</c:f>
            </c:strRef>
          </c:tx>
          <c:spPr>
            <a:solidFill>
              <a:schemeClr val="accent2"/>
            </a:solidFill>
            <a:ln cmpd="sng">
              <a:solidFill>
                <a:srgbClr val="000000"/>
              </a:solidFill>
            </a:ln>
          </c:spPr>
          <c:val>
            <c:numRef>
              <c:f>'total planted'!$D$15</c:f>
              <c:numCache/>
            </c:numRef>
          </c:val>
        </c:ser>
        <c:ser>
          <c:idx val="2"/>
          <c:order val="2"/>
          <c:tx>
            <c:strRef>
              <c:f>'total planted'!$E$14</c:f>
            </c:strRef>
          </c:tx>
          <c:spPr>
            <a:solidFill>
              <a:schemeClr val="accent3"/>
            </a:solidFill>
            <a:ln cmpd="sng">
              <a:solidFill>
                <a:srgbClr val="000000"/>
              </a:solidFill>
            </a:ln>
          </c:spPr>
          <c:val>
            <c:numRef>
              <c:f>'total planted'!$E$15</c:f>
              <c:numCache/>
            </c:numRef>
          </c:val>
        </c:ser>
        <c:ser>
          <c:idx val="3"/>
          <c:order val="3"/>
          <c:tx>
            <c:strRef>
              <c:f>'total planted'!$F$14</c:f>
            </c:strRef>
          </c:tx>
          <c:spPr>
            <a:solidFill>
              <a:schemeClr val="accent4"/>
            </a:solidFill>
            <a:ln cmpd="sng">
              <a:solidFill>
                <a:srgbClr val="000000"/>
              </a:solidFill>
            </a:ln>
          </c:spPr>
          <c:val>
            <c:numRef>
              <c:f>'total planted'!$F$15</c:f>
              <c:numCache/>
            </c:numRef>
          </c:val>
        </c:ser>
        <c:ser>
          <c:idx val="4"/>
          <c:order val="4"/>
          <c:tx>
            <c:strRef>
              <c:f>'total planted'!$G$14</c:f>
            </c:strRef>
          </c:tx>
          <c:spPr>
            <a:solidFill>
              <a:srgbClr val="F6B26B"/>
            </a:solidFill>
            <a:ln cmpd="sng">
              <a:solidFill>
                <a:srgbClr val="000000"/>
              </a:solidFill>
            </a:ln>
          </c:spPr>
          <c:val>
            <c:numRef>
              <c:f>'total planted'!$G$15</c:f>
              <c:numCache/>
            </c:numRef>
          </c:val>
        </c:ser>
        <c:ser>
          <c:idx val="5"/>
          <c:order val="5"/>
          <c:tx>
            <c:strRef>
              <c:f>'total planted'!$H$14</c:f>
            </c:strRef>
          </c:tx>
          <c:spPr>
            <a:solidFill>
              <a:schemeClr val="accent6"/>
            </a:solidFill>
            <a:ln cmpd="sng">
              <a:solidFill>
                <a:srgbClr val="000000"/>
              </a:solidFill>
            </a:ln>
          </c:spPr>
          <c:val>
            <c:numRef>
              <c:f>'total planted'!$H$15</c:f>
              <c:numCache/>
            </c:numRef>
          </c:val>
        </c:ser>
        <c:ser>
          <c:idx val="6"/>
          <c:order val="6"/>
          <c:tx>
            <c:strRef>
              <c:f>'total planted'!$I$14</c:f>
            </c:strRef>
          </c:tx>
          <c:spPr>
            <a:solidFill>
              <a:srgbClr val="D5A6BD"/>
            </a:solidFill>
            <a:ln cmpd="sng">
              <a:solidFill>
                <a:srgbClr val="000000"/>
              </a:solidFill>
            </a:ln>
          </c:spPr>
          <c:val>
            <c:numRef>
              <c:f>'total planted'!$I$15</c:f>
              <c:numCache/>
            </c:numRef>
          </c:val>
        </c:ser>
        <c:ser>
          <c:idx val="7"/>
          <c:order val="7"/>
          <c:tx>
            <c:strRef>
              <c:f>'total planted'!$J$14</c:f>
            </c:strRef>
          </c:tx>
          <c:spPr>
            <a:solidFill>
              <a:schemeClr val="accent2">
                <a:lumOff val="30000"/>
              </a:schemeClr>
            </a:solidFill>
            <a:ln cmpd="sng">
              <a:solidFill>
                <a:srgbClr val="000000"/>
              </a:solidFill>
            </a:ln>
          </c:spPr>
          <c:val>
            <c:numRef>
              <c:f>'total planted'!$J$15</c:f>
              <c:numCache/>
            </c:numRef>
          </c:val>
        </c:ser>
        <c:axId val="777634241"/>
        <c:axId val="678718920"/>
      </c:barChart>
      <c:catAx>
        <c:axId val="7776342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78718920"/>
      </c:catAx>
      <c:valAx>
        <c:axId val="6787189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763424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S3 F v. SC NF 7 planted 7-10-25</a:t>
            </a:r>
          </a:p>
        </c:rich>
      </c:tx>
      <c:overlay val="0"/>
    </c:title>
    <c:plotArea>
      <c:layout/>
      <c:barChart>
        <c:barDir val="col"/>
        <c:ser>
          <c:idx val="0"/>
          <c:order val="0"/>
          <c:tx>
            <c:strRef>
              <c:f>'8-4-25-MG'!$A$2</c:f>
            </c:strRef>
          </c:tx>
          <c:spPr>
            <a:solidFill>
              <a:srgbClr val="00FF00"/>
            </a:solidFill>
            <a:ln cmpd="sng">
              <a:solidFill>
                <a:srgbClr val="000000"/>
              </a:solidFill>
            </a:ln>
          </c:spPr>
          <c:cat>
            <c:strRef>
              <c:f>'8-4-25-MG'!$B$1:$I$1</c:f>
            </c:strRef>
          </c:cat>
          <c:val>
            <c:numRef>
              <c:f>'8-4-25-MG'!$B$2:$I$2</c:f>
              <c:numCache/>
            </c:numRef>
          </c:val>
        </c:ser>
        <c:ser>
          <c:idx val="1"/>
          <c:order val="1"/>
          <c:tx>
            <c:strRef>
              <c:f>'8-4-25-MG'!$A$3</c:f>
            </c:strRef>
          </c:tx>
          <c:spPr>
            <a:solidFill>
              <a:srgbClr val="4A86E8"/>
            </a:solidFill>
            <a:ln cmpd="sng">
              <a:solidFill>
                <a:srgbClr val="000000"/>
              </a:solidFill>
            </a:ln>
          </c:spPr>
          <c:cat>
            <c:strRef>
              <c:f>'8-4-25-MG'!$B$1:$I$1</c:f>
            </c:strRef>
          </c:cat>
          <c:val>
            <c:numRef>
              <c:f>'8-4-25-MG'!$B$3:$I$3</c:f>
              <c:numCache/>
            </c:numRef>
          </c:val>
        </c:ser>
        <c:ser>
          <c:idx val="2"/>
          <c:order val="2"/>
          <c:tx>
            <c:strRef>
              <c:f>'8-4-25-MG'!$A$4</c:f>
            </c:strRef>
          </c:tx>
          <c:cat>
            <c:strRef>
              <c:f>'8-4-25-MG'!$B$1:$I$1</c:f>
            </c:strRef>
          </c:cat>
          <c:val>
            <c:numRef>
              <c:f>'8-4-25-MG'!$B$4:$I$4</c:f>
              <c:numCache/>
            </c:numRef>
          </c:val>
        </c:ser>
        <c:axId val="978028797"/>
        <c:axId val="1716542270"/>
      </c:barChart>
      <c:catAx>
        <c:axId val="9780287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Survival rate</a:t>
                </a:r>
              </a:p>
            </c:rich>
          </c:tx>
          <c:overlay val="0"/>
        </c:title>
        <c:numFmt formatCode="General" sourceLinked="1"/>
        <c:majorTickMark val="none"/>
        <c:minorTickMark val="none"/>
        <c:spPr/>
        <c:txPr>
          <a:bodyPr/>
          <a:lstStyle/>
          <a:p>
            <a:pPr lvl="0">
              <a:defRPr b="0">
                <a:solidFill>
                  <a:srgbClr val="000000"/>
                </a:solidFill>
                <a:latin typeface="+mn-lt"/>
              </a:defRPr>
            </a:pPr>
          </a:p>
        </c:txPr>
        <c:crossAx val="1716542270"/>
      </c:catAx>
      <c:valAx>
        <c:axId val="17165422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802879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Peat F v. Peat NF planted 7-15-25</a:t>
            </a:r>
          </a:p>
        </c:rich>
      </c:tx>
      <c:overlay val="0"/>
    </c:title>
    <c:plotArea>
      <c:layout/>
      <c:barChart>
        <c:barDir val="col"/>
        <c:ser>
          <c:idx val="0"/>
          <c:order val="0"/>
          <c:tx>
            <c:strRef>
              <c:f>'8-4-25-MG'!$A$5:$C$5</c:f>
            </c:strRef>
          </c:tx>
          <c:spPr>
            <a:solidFill>
              <a:srgbClr val="00FF00"/>
            </a:solidFill>
            <a:ln cmpd="sng">
              <a:solidFill>
                <a:srgbClr val="000000"/>
              </a:solidFill>
            </a:ln>
          </c:spPr>
          <c:cat>
            <c:strRef>
              <c:f>'8-4-25-MG'!$D$4:$I$4</c:f>
            </c:strRef>
          </c:cat>
          <c:val>
            <c:numRef>
              <c:f>'8-4-25-MG'!$D$5:$I$5</c:f>
              <c:numCache/>
            </c:numRef>
          </c:val>
        </c:ser>
        <c:ser>
          <c:idx val="1"/>
          <c:order val="1"/>
          <c:tx>
            <c:strRef>
              <c:f>'8-4-25-MG'!$A$6:$C$6</c:f>
            </c:strRef>
          </c:tx>
          <c:spPr>
            <a:solidFill>
              <a:srgbClr val="4A86E8"/>
            </a:solidFill>
            <a:ln cmpd="sng">
              <a:solidFill>
                <a:srgbClr val="000000"/>
              </a:solidFill>
            </a:ln>
          </c:spPr>
          <c:cat>
            <c:strRef>
              <c:f>'8-4-25-MG'!$D$4:$I$4</c:f>
            </c:strRef>
          </c:cat>
          <c:val>
            <c:numRef>
              <c:f>'8-4-25-MG'!$D$6:$I$6</c:f>
              <c:numCache/>
            </c:numRef>
          </c:val>
        </c:ser>
        <c:axId val="363699917"/>
        <c:axId val="672368459"/>
      </c:barChart>
      <c:catAx>
        <c:axId val="3636999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72368459"/>
      </c:catAx>
      <c:valAx>
        <c:axId val="6723684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369991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Bouteloua gracilis in MC NF v. Peat F</a:t>
            </a:r>
          </a:p>
        </c:rich>
      </c:tx>
      <c:overlay val="0"/>
    </c:title>
    <c:plotArea>
      <c:layout/>
      <c:barChart>
        <c:barDir val="col"/>
        <c:ser>
          <c:idx val="0"/>
          <c:order val="0"/>
          <c:tx>
            <c:strRef>
              <c:f>'8-4-25-MG'!$A$12</c:f>
            </c:strRef>
          </c:tx>
          <c:spPr>
            <a:solidFill>
              <a:srgbClr val="783F04"/>
            </a:solidFill>
            <a:ln cmpd="sng">
              <a:solidFill>
                <a:srgbClr val="000000"/>
              </a:solidFill>
            </a:ln>
          </c:spPr>
          <c:cat>
            <c:strRef>
              <c:f>'8-4-25-MG'!$B$11</c:f>
            </c:strRef>
          </c:cat>
          <c:val>
            <c:numRef>
              <c:f>'8-4-25-MG'!$B$12</c:f>
              <c:numCache/>
            </c:numRef>
          </c:val>
        </c:ser>
        <c:ser>
          <c:idx val="1"/>
          <c:order val="1"/>
          <c:tx>
            <c:strRef>
              <c:f>'8-4-25-MG'!$A$13</c:f>
            </c:strRef>
          </c:tx>
          <c:spPr>
            <a:solidFill>
              <a:srgbClr val="FFFF00"/>
            </a:solidFill>
            <a:ln cmpd="sng">
              <a:solidFill>
                <a:srgbClr val="000000"/>
              </a:solidFill>
            </a:ln>
          </c:spPr>
          <c:cat>
            <c:strRef>
              <c:f>'8-4-25-MG'!$B$11</c:f>
            </c:strRef>
          </c:cat>
          <c:val>
            <c:numRef>
              <c:f>'8-4-25-MG'!$B$13</c:f>
              <c:numCache/>
            </c:numRef>
          </c:val>
        </c:ser>
        <c:axId val="1950648442"/>
        <c:axId val="589415304"/>
      </c:barChart>
      <c:catAx>
        <c:axId val="19506484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Survival rate</a:t>
                </a:r>
              </a:p>
            </c:rich>
          </c:tx>
          <c:overlay val="0"/>
        </c:title>
        <c:numFmt formatCode="General" sourceLinked="1"/>
        <c:majorTickMark val="none"/>
        <c:minorTickMark val="none"/>
        <c:spPr/>
        <c:txPr>
          <a:bodyPr/>
          <a:lstStyle/>
          <a:p>
            <a:pPr lvl="0">
              <a:defRPr b="0">
                <a:solidFill>
                  <a:srgbClr val="000000"/>
                </a:solidFill>
                <a:latin typeface="+mn-lt"/>
              </a:defRPr>
            </a:pPr>
          </a:p>
        </c:txPr>
        <c:crossAx val="589415304"/>
      </c:catAx>
      <c:valAx>
        <c:axId val="5894153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064844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342900</xdr:colOff>
      <xdr:row>0</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628650</xdr:colOff>
      <xdr:row>17</xdr:row>
      <xdr:rowOff>47625</xdr:rowOff>
    </xdr:from>
    <xdr:ext cx="2266950" cy="14001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0</xdr:row>
      <xdr:rowOff>0</xdr:rowOff>
    </xdr:from>
    <xdr:ext cx="3248025" cy="21336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371475</xdr:colOff>
      <xdr:row>3</xdr:row>
      <xdr:rowOff>295275</xdr:rowOff>
    </xdr:from>
    <xdr:ext cx="3314700" cy="200025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371475</xdr:colOff>
      <xdr:row>6</xdr:row>
      <xdr:rowOff>552450</xdr:rowOff>
    </xdr:from>
    <xdr:ext cx="3314700" cy="203835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75"/>
    <col customWidth="1" min="2" max="2" width="11.5"/>
    <col customWidth="1" min="3" max="9" width="9.13"/>
    <col customWidth="1" min="10" max="11" width="9.5"/>
    <col customWidth="1" min="12" max="13" width="9.13"/>
    <col customWidth="1" min="14" max="14" width="10.0"/>
    <col customWidth="1" min="15" max="15" width="11.5"/>
    <col customWidth="1" min="16" max="16" width="11.25"/>
    <col customWidth="1" min="17" max="17" width="9.38"/>
  </cols>
  <sheetData>
    <row r="1" ht="67.5" customHeight="1">
      <c r="A1" s="1" t="s">
        <v>0</v>
      </c>
      <c r="B1" s="2" t="s">
        <v>1</v>
      </c>
      <c r="C1" s="3" t="s">
        <v>2</v>
      </c>
      <c r="D1" s="3" t="s">
        <v>3</v>
      </c>
      <c r="E1" s="3" t="s">
        <v>4</v>
      </c>
      <c r="F1" s="3" t="s">
        <v>5</v>
      </c>
      <c r="G1" s="3" t="s">
        <v>6</v>
      </c>
      <c r="H1" s="3" t="s">
        <v>7</v>
      </c>
      <c r="I1" s="3" t="s">
        <v>8</v>
      </c>
      <c r="J1" s="4" t="s">
        <v>9</v>
      </c>
      <c r="K1" s="4" t="s">
        <v>10</v>
      </c>
      <c r="L1" s="5" t="s">
        <v>11</v>
      </c>
      <c r="M1" s="6" t="s">
        <v>12</v>
      </c>
      <c r="N1" s="6" t="s">
        <v>13</v>
      </c>
      <c r="O1" s="6" t="s">
        <v>14</v>
      </c>
      <c r="P1" s="6" t="s">
        <v>15</v>
      </c>
      <c r="Q1" s="7" t="s">
        <v>16</v>
      </c>
      <c r="R1" s="7" t="s">
        <v>17</v>
      </c>
      <c r="S1" s="7" t="s">
        <v>18</v>
      </c>
      <c r="T1" s="7" t="s">
        <v>19</v>
      </c>
      <c r="U1" s="7" t="s">
        <v>20</v>
      </c>
      <c r="V1" s="7" t="s">
        <v>21</v>
      </c>
      <c r="W1" s="7" t="s">
        <v>22</v>
      </c>
    </row>
    <row r="2">
      <c r="A2" s="8" t="s">
        <v>23</v>
      </c>
      <c r="B2" s="8">
        <v>50.0</v>
      </c>
      <c r="C2" s="9">
        <v>37.0</v>
      </c>
      <c r="D2" s="9">
        <v>37.0</v>
      </c>
      <c r="E2" s="9">
        <v>39.0</v>
      </c>
      <c r="F2" s="10"/>
      <c r="G2" s="9"/>
      <c r="H2" s="9">
        <v>32.0</v>
      </c>
      <c r="I2" s="11">
        <f>'10-23-25 AB'!G38</f>
        <v>33</v>
      </c>
      <c r="J2" s="12">
        <f>'8-4-25-MG'!E69</f>
        <v>9.466666667</v>
      </c>
      <c r="K2" s="13">
        <v>9.8</v>
      </c>
      <c r="L2" s="12">
        <v>8.2</v>
      </c>
      <c r="O2" s="8">
        <v>8.3</v>
      </c>
      <c r="P2" s="14">
        <f>'10-23-25 AB'!H38</f>
        <v>8.424242424</v>
      </c>
      <c r="Q2" s="15">
        <f>'8-4-25-MG'!F69</f>
        <v>2.777777778</v>
      </c>
      <c r="R2" s="16"/>
      <c r="S2" s="16"/>
      <c r="T2" s="16"/>
      <c r="U2" s="16"/>
      <c r="V2" s="17">
        <v>1.2</v>
      </c>
      <c r="W2" s="15">
        <f>'10-23-25 AB'!I38</f>
        <v>1.606060606</v>
      </c>
    </row>
    <row r="3">
      <c r="A3" s="8" t="s">
        <v>24</v>
      </c>
      <c r="B3" s="8">
        <v>60.0</v>
      </c>
      <c r="C3" s="9">
        <v>34.0</v>
      </c>
      <c r="D3" s="9">
        <v>32.0</v>
      </c>
      <c r="E3" s="9">
        <v>34.0</v>
      </c>
      <c r="F3" s="10"/>
      <c r="G3" s="10"/>
      <c r="H3" s="9">
        <v>32.0</v>
      </c>
      <c r="I3" s="10">
        <f>'10-23-25 AB'!G75</f>
        <v>37</v>
      </c>
      <c r="J3" s="12">
        <f>'8-4-25-MG'!E160</f>
        <v>9.602941176</v>
      </c>
      <c r="K3" s="13">
        <v>10.2</v>
      </c>
      <c r="L3" s="12">
        <v>3.0</v>
      </c>
      <c r="O3" s="8">
        <v>9.0</v>
      </c>
      <c r="P3" s="14">
        <f>'10-23-25 AB'!H75</f>
        <v>8.675675676</v>
      </c>
      <c r="Q3" s="15">
        <f>'8-4-25-MG'!F160</f>
        <v>2.617647059</v>
      </c>
      <c r="R3" s="16"/>
      <c r="S3" s="16"/>
      <c r="T3" s="16"/>
      <c r="U3" s="16"/>
      <c r="V3" s="17">
        <v>1.3</v>
      </c>
      <c r="W3" s="15">
        <f>'10-23-25 AB'!I75</f>
        <v>2.189189189</v>
      </c>
    </row>
    <row r="4">
      <c r="A4" s="8" t="s">
        <v>25</v>
      </c>
      <c r="B4" s="8"/>
      <c r="C4" s="9"/>
      <c r="D4" s="9"/>
      <c r="E4" s="9"/>
      <c r="F4" s="10"/>
      <c r="G4" s="10"/>
      <c r="H4" s="9"/>
      <c r="I4" s="10"/>
      <c r="J4" s="18"/>
      <c r="K4" s="18"/>
      <c r="L4" s="12"/>
      <c r="Q4" s="16"/>
      <c r="R4" s="16"/>
      <c r="S4" s="16"/>
      <c r="T4" s="16"/>
      <c r="U4" s="16"/>
      <c r="V4" s="16"/>
      <c r="W4" s="16"/>
    </row>
    <row r="5">
      <c r="A5" s="8" t="s">
        <v>26</v>
      </c>
      <c r="B5" s="8"/>
      <c r="C5" s="9"/>
      <c r="D5" s="9"/>
      <c r="E5" s="9"/>
      <c r="F5" s="10"/>
      <c r="G5" s="10"/>
      <c r="H5" s="9"/>
      <c r="I5" s="10"/>
      <c r="J5" s="18"/>
      <c r="K5" s="18"/>
      <c r="L5" s="12"/>
      <c r="Q5" s="16"/>
      <c r="R5" s="16"/>
      <c r="S5" s="16"/>
      <c r="T5" s="16"/>
      <c r="U5" s="16"/>
      <c r="V5" s="16"/>
      <c r="W5" s="16"/>
    </row>
    <row r="6">
      <c r="A6" s="8" t="s">
        <v>27</v>
      </c>
      <c r="B6" s="8"/>
      <c r="C6" s="9"/>
      <c r="D6" s="9"/>
      <c r="E6" s="9"/>
      <c r="F6" s="10"/>
      <c r="G6" s="10"/>
      <c r="H6" s="9"/>
      <c r="I6" s="10"/>
      <c r="J6" s="18"/>
      <c r="K6" s="18"/>
      <c r="L6" s="12"/>
      <c r="Q6" s="16"/>
      <c r="R6" s="16"/>
      <c r="S6" s="16"/>
      <c r="T6" s="16"/>
      <c r="U6" s="16"/>
      <c r="V6" s="16"/>
      <c r="W6" s="16"/>
    </row>
    <row r="7">
      <c r="A7" s="8" t="s">
        <v>28</v>
      </c>
      <c r="B7" s="8">
        <v>40.0</v>
      </c>
      <c r="C7" s="9"/>
      <c r="D7" s="9">
        <v>40.0</v>
      </c>
      <c r="E7" s="9">
        <v>9.0</v>
      </c>
      <c r="F7" s="10"/>
      <c r="G7" s="10"/>
      <c r="H7" s="9"/>
      <c r="I7" s="19">
        <f>'10-23-25 AB'!G84</f>
        <v>9</v>
      </c>
      <c r="J7" s="18"/>
      <c r="K7" s="18"/>
      <c r="L7" s="12">
        <v>2.8</v>
      </c>
      <c r="P7" s="14">
        <f>'10-23-25 AB'!H84</f>
        <v>4.777777778</v>
      </c>
      <c r="Q7" s="16"/>
      <c r="R7" s="16"/>
      <c r="S7" s="16"/>
      <c r="T7" s="16"/>
      <c r="U7" s="16"/>
      <c r="V7" s="16"/>
      <c r="W7" s="15">
        <f>'10-23-25 AB'!I84</f>
        <v>1</v>
      </c>
    </row>
    <row r="8">
      <c r="A8" s="8" t="s">
        <v>29</v>
      </c>
      <c r="B8" s="8">
        <v>25.0</v>
      </c>
      <c r="C8" s="9"/>
      <c r="D8" s="9">
        <v>25.0</v>
      </c>
      <c r="E8" s="10"/>
      <c r="F8" s="10"/>
      <c r="G8" s="10"/>
      <c r="H8" s="9"/>
      <c r="I8" s="19">
        <f>'10-23-25 AB'!G107</f>
        <v>23</v>
      </c>
      <c r="J8" s="13"/>
      <c r="K8" s="13">
        <v>13.7</v>
      </c>
      <c r="L8" s="12">
        <v>11.0</v>
      </c>
      <c r="P8" s="14">
        <f>'10-23-25 AB'!H107</f>
        <v>8.565217391</v>
      </c>
      <c r="Q8" s="16"/>
      <c r="R8" s="16"/>
      <c r="S8" s="17">
        <v>1.4</v>
      </c>
      <c r="T8" s="16"/>
      <c r="U8" s="16"/>
      <c r="V8" s="16"/>
      <c r="W8" s="15">
        <f>'10-23-25 AB'!I107</f>
        <v>1.47826087</v>
      </c>
    </row>
    <row r="9">
      <c r="A9" s="8" t="s">
        <v>30</v>
      </c>
      <c r="B9" s="8">
        <v>25.0</v>
      </c>
      <c r="C9" s="9"/>
      <c r="D9" s="9">
        <v>25.0</v>
      </c>
      <c r="E9" s="9">
        <v>14.0</v>
      </c>
      <c r="F9" s="10"/>
      <c r="G9" s="10"/>
      <c r="H9" s="10"/>
      <c r="I9" s="19">
        <f>'10-23-25 AB'!G116</f>
        <v>9</v>
      </c>
      <c r="J9" s="13"/>
      <c r="K9" s="13">
        <v>17.7</v>
      </c>
      <c r="L9" s="20"/>
      <c r="O9" s="8">
        <v>12.5</v>
      </c>
      <c r="P9" s="14">
        <f>'10-23-25 AB'!H116</f>
        <v>7.222222222</v>
      </c>
      <c r="Q9" s="16"/>
      <c r="R9" s="16"/>
      <c r="S9" s="16"/>
      <c r="T9" s="16"/>
      <c r="U9" s="16"/>
      <c r="V9" s="16"/>
      <c r="W9" s="15">
        <f>'10-23-25 AB'!I116</f>
        <v>1</v>
      </c>
    </row>
    <row r="10">
      <c r="A10" s="8" t="s">
        <v>31</v>
      </c>
      <c r="B10" s="8">
        <v>22.0</v>
      </c>
      <c r="C10" s="10"/>
      <c r="D10" s="10"/>
      <c r="E10" s="10"/>
      <c r="F10" s="9">
        <v>22.0</v>
      </c>
      <c r="G10" s="10"/>
      <c r="H10" s="9">
        <v>17.0</v>
      </c>
      <c r="I10" s="19">
        <f>'10-23-25 AB'!G137</f>
        <v>21</v>
      </c>
      <c r="J10" s="18"/>
      <c r="K10" s="18"/>
      <c r="L10" s="14"/>
      <c r="M10" s="12">
        <f>'9-11-25-KT'!G326</f>
        <v>4.142857143</v>
      </c>
      <c r="O10" s="8">
        <v>3.8</v>
      </c>
      <c r="P10" s="14">
        <f>'10-23-25 AB'!H137</f>
        <v>3.333333333</v>
      </c>
      <c r="Q10" s="16"/>
      <c r="R10" s="16"/>
      <c r="S10" s="16"/>
      <c r="T10" s="16"/>
      <c r="U10" s="16"/>
      <c r="V10" s="16"/>
      <c r="W10" s="15">
        <f>'10-23-25 AB'!I137</f>
        <v>1.047619048</v>
      </c>
    </row>
    <row r="11">
      <c r="A11" s="8" t="s">
        <v>32</v>
      </c>
      <c r="B11" s="8">
        <v>24.0</v>
      </c>
      <c r="C11" s="10"/>
      <c r="D11" s="10"/>
      <c r="E11" s="10"/>
      <c r="F11" s="9">
        <v>24.0</v>
      </c>
      <c r="G11" s="10"/>
      <c r="H11" s="10"/>
      <c r="I11" s="19">
        <f>'10-23-25 AB'!G164</f>
        <v>27</v>
      </c>
      <c r="J11" s="18"/>
      <c r="K11" s="18"/>
      <c r="L11" s="20"/>
      <c r="M11" s="14">
        <f>'9-11-25-KT'!G305</f>
        <v>3.391304348</v>
      </c>
      <c r="O11" s="8">
        <v>3.4</v>
      </c>
      <c r="P11" s="14">
        <f>'10-23-25 AB'!H164</f>
        <v>3.444444444</v>
      </c>
      <c r="Q11" s="16"/>
      <c r="R11" s="16"/>
      <c r="S11" s="16"/>
      <c r="T11" s="16"/>
      <c r="U11" s="16"/>
      <c r="V11" s="16"/>
      <c r="W11" s="15">
        <f>'10-23-25 AB'!I164</f>
        <v>1.037037037</v>
      </c>
    </row>
    <row r="12">
      <c r="A12" s="8" t="s">
        <v>33</v>
      </c>
      <c r="B12" s="8">
        <v>20.0</v>
      </c>
      <c r="C12" s="10"/>
      <c r="D12" s="10"/>
      <c r="E12" s="10"/>
      <c r="F12" s="9">
        <v>20.0</v>
      </c>
      <c r="G12" s="10"/>
      <c r="H12" s="10"/>
      <c r="I12" s="19">
        <f>'10-23-25 AB'!G182</f>
        <v>18</v>
      </c>
      <c r="J12" s="18"/>
      <c r="K12" s="18"/>
      <c r="L12" s="20"/>
      <c r="M12" s="21">
        <f>'9-11-25-KT'!G282</f>
        <v>7.894736842</v>
      </c>
      <c r="O12" s="8">
        <v>5.6</v>
      </c>
      <c r="P12" s="14">
        <f>'10-23-25 AB'!H182</f>
        <v>4.944444444</v>
      </c>
      <c r="Q12" s="16"/>
      <c r="R12" s="16"/>
      <c r="S12" s="17">
        <v>1.0</v>
      </c>
      <c r="T12" s="16"/>
      <c r="U12" s="16"/>
      <c r="V12" s="16"/>
      <c r="W12" s="15">
        <f>'10-23-25 AB'!I182</f>
        <v>1</v>
      </c>
    </row>
    <row r="13">
      <c r="A13" s="8" t="s">
        <v>34</v>
      </c>
      <c r="B13" s="8">
        <v>24.0</v>
      </c>
      <c r="C13" s="10"/>
      <c r="D13" s="10"/>
      <c r="E13" s="10"/>
      <c r="F13" s="9">
        <v>24.0</v>
      </c>
      <c r="G13" s="10"/>
      <c r="H13" s="9">
        <v>24.0</v>
      </c>
      <c r="I13" s="19">
        <f>'10-23-25 AB'!G202</f>
        <v>20</v>
      </c>
      <c r="J13" s="18"/>
      <c r="K13" s="18"/>
      <c r="L13" s="20"/>
      <c r="M13" s="21">
        <f>'9-11-25-KT'!G263</f>
        <v>5.55</v>
      </c>
      <c r="O13" s="8">
        <v>5.6</v>
      </c>
      <c r="P13" s="14">
        <f>'10-23-25 AB'!H202</f>
        <v>6</v>
      </c>
      <c r="Q13" s="16"/>
      <c r="R13" s="16"/>
      <c r="S13" s="16"/>
      <c r="T13" s="16"/>
      <c r="U13" s="16"/>
      <c r="V13" s="16"/>
      <c r="W13" s="15">
        <f>'10-23-25 AB'!I202</f>
        <v>1</v>
      </c>
    </row>
    <row r="14">
      <c r="A14" s="8" t="s">
        <v>35</v>
      </c>
      <c r="B14" s="8">
        <v>15.0</v>
      </c>
      <c r="C14" s="9">
        <f>'8-4-25-MG'!G83</f>
        <v>12</v>
      </c>
      <c r="D14" s="10"/>
      <c r="E14" s="10">
        <f>'9-1-25-LM'!B91</f>
        <v>14</v>
      </c>
      <c r="F14" s="10"/>
      <c r="G14" s="10"/>
      <c r="H14" s="9">
        <v>15.0</v>
      </c>
      <c r="I14" s="19">
        <f>'10-23-25 AB'!G222</f>
        <v>14</v>
      </c>
      <c r="J14" s="12">
        <f>'8-4-25-MG'!E83</f>
        <v>7.692307692</v>
      </c>
      <c r="K14" s="13">
        <v>7.4</v>
      </c>
      <c r="L14" s="12">
        <f>average('9-1-25-LM'!D78:D91)</f>
        <v>5.571428571</v>
      </c>
      <c r="O14" s="8">
        <v>4.8</v>
      </c>
      <c r="P14" s="14">
        <f>'10-23-25 AB'!H222</f>
        <v>5.142857143</v>
      </c>
      <c r="Q14" s="16">
        <f>average('9-1-25-LM'!E78:E91)</f>
        <v>2.5</v>
      </c>
      <c r="R14" s="16"/>
      <c r="S14" s="16"/>
      <c r="T14" s="16"/>
      <c r="U14" s="16"/>
      <c r="V14" s="17">
        <v>1.9</v>
      </c>
      <c r="W14" s="15">
        <f>'10-23-25 AB'!I222</f>
        <v>1</v>
      </c>
    </row>
    <row r="15">
      <c r="A15" s="8" t="s">
        <v>36</v>
      </c>
      <c r="B15" s="8">
        <v>15.0</v>
      </c>
      <c r="C15" s="9">
        <f>'8-4-25-MG'!G175</f>
        <v>7</v>
      </c>
      <c r="D15" s="9">
        <v>7.0</v>
      </c>
      <c r="E15" s="9">
        <f>'9-1-25-LM'!B97</f>
        <v>4</v>
      </c>
      <c r="F15" s="10"/>
      <c r="G15" s="10"/>
      <c r="H15" s="9">
        <v>4.0</v>
      </c>
      <c r="I15" s="19">
        <f>'10-23-25 AB'!G226</f>
        <v>4</v>
      </c>
      <c r="J15" s="20">
        <f>'8-4-25-MG'!E175</f>
        <v>7.214285714</v>
      </c>
      <c r="K15" s="18"/>
      <c r="L15" s="20">
        <f>average('9-1-25-LM'!D92:D97)</f>
        <v>4.5</v>
      </c>
      <c r="O15" s="8">
        <v>5.5</v>
      </c>
      <c r="P15" s="14">
        <f>'10-23-25 AB'!H226</f>
        <v>4.25</v>
      </c>
      <c r="Q15" s="15">
        <f>'8-4-25-MG'!F175</f>
        <v>2</v>
      </c>
      <c r="R15" s="16"/>
      <c r="S15" s="15">
        <f>average('9-1-25-LM'!E92:E97)</f>
        <v>1.75</v>
      </c>
      <c r="T15" s="16"/>
      <c r="U15" s="16"/>
      <c r="V15" s="17">
        <v>2.0</v>
      </c>
      <c r="W15" s="15">
        <f>'10-23-25 AB'!I226</f>
        <v>1</v>
      </c>
    </row>
    <row r="16">
      <c r="A16" s="8" t="s">
        <v>37</v>
      </c>
      <c r="B16" s="8">
        <v>0.0</v>
      </c>
      <c r="C16" s="10"/>
      <c r="D16" s="10"/>
      <c r="E16" s="10"/>
      <c r="F16" s="10"/>
      <c r="G16" s="10"/>
      <c r="H16" s="10"/>
      <c r="I16" s="10"/>
      <c r="J16" s="18"/>
      <c r="K16" s="18"/>
      <c r="L16" s="20"/>
      <c r="Q16" s="16"/>
      <c r="R16" s="16"/>
      <c r="S16" s="16"/>
      <c r="T16" s="16"/>
      <c r="U16" s="16"/>
      <c r="V16" s="16"/>
      <c r="W16" s="16"/>
    </row>
    <row r="17">
      <c r="A17" s="8" t="s">
        <v>38</v>
      </c>
      <c r="B17" s="8">
        <v>0.0</v>
      </c>
      <c r="C17" s="10"/>
      <c r="D17" s="10"/>
      <c r="E17" s="10"/>
      <c r="F17" s="10"/>
      <c r="G17" s="10"/>
      <c r="H17" s="10"/>
      <c r="I17" s="10"/>
      <c r="J17" s="18"/>
      <c r="K17" s="18"/>
      <c r="L17" s="20"/>
      <c r="Q17" s="16"/>
      <c r="R17" s="16"/>
      <c r="S17" s="16"/>
      <c r="T17" s="16"/>
      <c r="U17" s="16"/>
      <c r="V17" s="16"/>
      <c r="W17" s="16"/>
    </row>
    <row r="18">
      <c r="A18" s="8" t="s">
        <v>39</v>
      </c>
      <c r="B18" s="8">
        <v>0.0</v>
      </c>
      <c r="C18" s="10"/>
      <c r="D18" s="10"/>
      <c r="E18" s="10"/>
      <c r="F18" s="10"/>
      <c r="G18" s="10"/>
      <c r="H18" s="10"/>
      <c r="I18" s="10"/>
      <c r="J18" s="18"/>
      <c r="K18" s="18"/>
      <c r="L18" s="20"/>
      <c r="Q18" s="16"/>
      <c r="R18" s="16"/>
      <c r="S18" s="16"/>
      <c r="T18" s="16"/>
      <c r="U18" s="16"/>
      <c r="V18" s="16"/>
      <c r="W18" s="16"/>
    </row>
    <row r="19">
      <c r="A19" s="8" t="s">
        <v>40</v>
      </c>
      <c r="B19" s="8">
        <v>0.0</v>
      </c>
      <c r="C19" s="10"/>
      <c r="D19" s="10"/>
      <c r="E19" s="10"/>
      <c r="F19" s="10"/>
      <c r="G19" s="10"/>
      <c r="H19" s="10"/>
      <c r="I19" s="10"/>
      <c r="J19" s="18"/>
      <c r="K19" s="18"/>
      <c r="L19" s="20"/>
      <c r="Q19" s="16"/>
      <c r="R19" s="16"/>
      <c r="S19" s="16"/>
      <c r="T19" s="16"/>
      <c r="U19" s="16"/>
      <c r="V19" s="16"/>
      <c r="W19" s="16"/>
    </row>
    <row r="20">
      <c r="A20" s="8" t="s">
        <v>41</v>
      </c>
      <c r="B20" s="8">
        <v>13.0</v>
      </c>
      <c r="C20" s="9"/>
      <c r="D20" s="9">
        <v>13.0</v>
      </c>
      <c r="E20" s="10">
        <f>'9-1-25-LM'!B110</f>
        <v>10</v>
      </c>
      <c r="F20" s="10"/>
      <c r="G20" s="10"/>
      <c r="H20" s="9">
        <v>10.0</v>
      </c>
      <c r="I20" s="19">
        <f>'10-23-25 AB'!G236</f>
        <v>10</v>
      </c>
      <c r="J20" s="13"/>
      <c r="K20" s="13">
        <v>15.7</v>
      </c>
      <c r="L20" s="20">
        <f>average('9-1-25-LM'!D98:D110)</f>
        <v>8.9</v>
      </c>
      <c r="O20" s="8">
        <v>8.1</v>
      </c>
      <c r="P20" s="14">
        <f>'10-23-25 AB'!H236</f>
        <v>8.2</v>
      </c>
      <c r="Q20" s="16"/>
      <c r="R20" s="16"/>
      <c r="S20" s="16">
        <f>average('9-1-25-LM'!E98:E110)</f>
        <v>3</v>
      </c>
      <c r="T20" s="16"/>
      <c r="U20" s="16"/>
      <c r="V20" s="17">
        <v>1.3</v>
      </c>
      <c r="W20" s="15">
        <f>'10-23-25 AB'!I236</f>
        <v>1</v>
      </c>
    </row>
    <row r="21">
      <c r="A21" s="8" t="s">
        <v>42</v>
      </c>
      <c r="B21" s="8">
        <v>25.0</v>
      </c>
      <c r="C21" s="9"/>
      <c r="D21" s="9">
        <v>24.0</v>
      </c>
      <c r="E21" s="10">
        <f>'9-1-25-LM'!B135</f>
        <v>16</v>
      </c>
      <c r="F21" s="10"/>
      <c r="G21" s="10"/>
      <c r="H21" s="9">
        <v>17.0</v>
      </c>
      <c r="I21" s="19">
        <f>'10-23-25 AB'!G258</f>
        <v>22</v>
      </c>
      <c r="J21" s="13"/>
      <c r="K21" s="13">
        <v>12.6</v>
      </c>
      <c r="L21" s="20">
        <f>average('9-1-25-LM'!D111:D134)</f>
        <v>7</v>
      </c>
      <c r="O21" s="8">
        <v>5.6</v>
      </c>
      <c r="P21" s="14">
        <f>'10-23-25 AB'!H258</f>
        <v>6.272727273</v>
      </c>
      <c r="Q21" s="16"/>
      <c r="R21" s="16"/>
      <c r="S21" s="15">
        <f>average('9-1-25-LM'!E111:E135)</f>
        <v>2.5625</v>
      </c>
      <c r="T21" s="16"/>
      <c r="U21" s="16"/>
      <c r="V21" s="17">
        <v>1.1</v>
      </c>
      <c r="W21" s="15">
        <f>'10-23-25 AB'!I258</f>
        <v>1</v>
      </c>
    </row>
    <row r="22">
      <c r="A22" s="8" t="s">
        <v>43</v>
      </c>
      <c r="B22" s="8">
        <v>24.0</v>
      </c>
      <c r="C22" s="10"/>
      <c r="D22" s="10"/>
      <c r="E22" s="10"/>
      <c r="F22" s="9">
        <v>24.0</v>
      </c>
      <c r="G22" s="10"/>
      <c r="H22" s="9">
        <v>20.0</v>
      </c>
      <c r="I22" s="19">
        <f>'10-23-25 AB'!G269</f>
        <v>11</v>
      </c>
      <c r="J22" s="18"/>
      <c r="K22" s="18"/>
      <c r="L22" s="20"/>
      <c r="M22" s="21">
        <f>'9-11-25-KT'!G241</f>
        <v>3.4</v>
      </c>
      <c r="O22" s="8">
        <v>2.7</v>
      </c>
      <c r="Q22" s="16"/>
      <c r="R22" s="16"/>
      <c r="S22" s="16"/>
      <c r="T22" s="16"/>
      <c r="U22" s="16"/>
      <c r="V22" s="17">
        <v>1.1</v>
      </c>
      <c r="W22" s="16"/>
    </row>
    <row r="23">
      <c r="A23" s="8" t="s">
        <v>44</v>
      </c>
      <c r="B23" s="8">
        <v>24.0</v>
      </c>
      <c r="C23" s="10"/>
      <c r="D23" s="10"/>
      <c r="E23" s="10"/>
      <c r="F23" s="9">
        <v>24.0</v>
      </c>
      <c r="G23" s="10"/>
      <c r="H23" s="9">
        <v>10.0</v>
      </c>
      <c r="I23" s="19">
        <f>'10-23-25 AB'!G281</f>
        <v>12</v>
      </c>
      <c r="J23" s="18"/>
      <c r="K23" s="18"/>
      <c r="L23" s="20"/>
      <c r="M23" s="21">
        <f>'9-11-25-KT'!G216</f>
        <v>2.333333333</v>
      </c>
      <c r="O23" s="8">
        <v>3.7</v>
      </c>
      <c r="Q23" s="16"/>
      <c r="R23" s="16"/>
      <c r="S23" s="16"/>
      <c r="T23" s="16"/>
      <c r="U23" s="16"/>
      <c r="V23" s="17">
        <v>1.0</v>
      </c>
      <c r="W23" s="16"/>
    </row>
    <row r="24">
      <c r="A24" s="8" t="s">
        <v>45</v>
      </c>
      <c r="B24" s="8">
        <v>23.0</v>
      </c>
      <c r="C24" s="10"/>
      <c r="D24" s="10"/>
      <c r="E24" s="10"/>
      <c r="F24" s="9">
        <v>23.0</v>
      </c>
      <c r="G24" s="10"/>
      <c r="H24" s="10"/>
      <c r="I24" s="19">
        <f>'10-23-25 AB'!G294</f>
        <v>13</v>
      </c>
      <c r="J24" s="18"/>
      <c r="K24" s="18"/>
      <c r="L24" s="20"/>
      <c r="M24" s="21">
        <f>average('9-11-25-KT'!G166)</f>
        <v>3.545454545</v>
      </c>
      <c r="Q24" s="16"/>
      <c r="R24" s="16"/>
      <c r="S24" s="16"/>
      <c r="T24" s="16"/>
      <c r="U24" s="16"/>
      <c r="V24" s="16"/>
      <c r="W24" s="16"/>
    </row>
    <row r="25">
      <c r="A25" s="8" t="s">
        <v>46</v>
      </c>
      <c r="B25" s="8">
        <v>24.0</v>
      </c>
      <c r="C25" s="10"/>
      <c r="D25" s="10"/>
      <c r="E25" s="10"/>
      <c r="F25" s="9">
        <v>24.0</v>
      </c>
      <c r="G25" s="10"/>
      <c r="H25" s="10"/>
      <c r="I25" s="19">
        <f>'10-23-25 AB'!G313</f>
        <v>19</v>
      </c>
      <c r="J25" s="18"/>
      <c r="K25" s="18"/>
      <c r="L25" s="20"/>
      <c r="M25" s="21">
        <f>'9-11-25-KT'!G192</f>
        <v>2.807692308</v>
      </c>
      <c r="Q25" s="16"/>
      <c r="R25" s="16"/>
      <c r="S25" s="16"/>
      <c r="T25" s="16"/>
      <c r="U25" s="16"/>
      <c r="V25" s="16"/>
      <c r="W25" s="16"/>
    </row>
    <row r="26">
      <c r="A26" s="8" t="s">
        <v>47</v>
      </c>
      <c r="B26" s="8">
        <v>15.0</v>
      </c>
      <c r="C26" s="9">
        <f>'9-1-25-LM'!B18</f>
        <v>13</v>
      </c>
      <c r="D26" s="9">
        <v>12.0</v>
      </c>
      <c r="E26" s="9">
        <v>13.0</v>
      </c>
      <c r="F26" s="10"/>
      <c r="G26" s="10"/>
      <c r="H26" s="9">
        <f>'10-9-25-EB'!C18</f>
        <v>13</v>
      </c>
      <c r="I26" s="19">
        <f>'10-23-25 AB'!G330</f>
        <v>11</v>
      </c>
      <c r="J26" s="14">
        <f>average('9-1-25-LM'!D6:D18)</f>
        <v>10.61538462</v>
      </c>
      <c r="K26" s="13">
        <v>10.4</v>
      </c>
      <c r="L26" s="12">
        <f>average('9-1-25-LM'!D6:D18)</f>
        <v>10.61538462</v>
      </c>
      <c r="O26" s="21">
        <f>'10-9-25-EB'!G18</f>
        <v>11.11538462</v>
      </c>
      <c r="P26" s="14">
        <f>'10-23-25 AB'!H330</f>
        <v>11.09090909</v>
      </c>
      <c r="Q26" s="15">
        <f>'8-4-25-MG'!F95</f>
        <v>1.5</v>
      </c>
      <c r="R26" s="16"/>
      <c r="S26" s="15">
        <f>average('9-1-25-LM'!E19:E22)</f>
        <v>1.75</v>
      </c>
      <c r="T26" s="16"/>
      <c r="U26" s="16"/>
      <c r="V26" s="15">
        <f>'10-9-25-EB'!H18</f>
        <v>1</v>
      </c>
      <c r="W26" s="16"/>
    </row>
    <row r="27">
      <c r="A27" s="8" t="s">
        <v>48</v>
      </c>
      <c r="B27" s="8">
        <v>15.0</v>
      </c>
      <c r="C27" s="9">
        <f>'8-4-25-MG'!G187</f>
        <v>10</v>
      </c>
      <c r="D27" s="9">
        <v>11.0</v>
      </c>
      <c r="E27" s="10">
        <f>'9-1-25-LM'!B22</f>
        <v>4</v>
      </c>
      <c r="F27" s="10"/>
      <c r="G27" s="10"/>
      <c r="H27" s="9">
        <f>'10-9-25-EB'!C23</f>
        <v>5</v>
      </c>
      <c r="I27" s="19">
        <f>'10-23-25 AB'!G334</f>
        <v>4</v>
      </c>
      <c r="J27" s="14">
        <f>'8-4-25-MG'!E187</f>
        <v>5.75</v>
      </c>
      <c r="K27" s="13">
        <v>7.3</v>
      </c>
      <c r="L27" s="13">
        <f>average('9-1-25-LM'!D19:D22)</f>
        <v>6.5</v>
      </c>
      <c r="O27" s="21">
        <f>'10-9-25-EB'!G27</f>
        <v>6.1</v>
      </c>
      <c r="P27" s="14">
        <f>'10-23-25 AB'!H334</f>
        <v>7.25</v>
      </c>
      <c r="Q27" s="15">
        <f>'8-4-25-MG'!F187</f>
        <v>1</v>
      </c>
      <c r="R27" s="16"/>
      <c r="S27" s="16"/>
      <c r="T27" s="16"/>
      <c r="U27" s="16"/>
      <c r="V27" s="15">
        <f>'10-9-25-EB'!H27</f>
        <v>1</v>
      </c>
      <c r="W27" s="15">
        <f>'10-23-25 AB'!I334</f>
        <v>1</v>
      </c>
    </row>
    <row r="28">
      <c r="A28" s="8" t="s">
        <v>49</v>
      </c>
      <c r="B28" s="8">
        <v>21.0</v>
      </c>
      <c r="C28" s="9">
        <f>'8-4-25-MG'!G225</f>
        <v>11</v>
      </c>
      <c r="D28" s="9">
        <v>10.0</v>
      </c>
      <c r="E28" s="9">
        <f>'9-1-25-LM'!B37</f>
        <v>15</v>
      </c>
      <c r="F28" s="10"/>
      <c r="G28" s="10"/>
      <c r="H28" s="9">
        <f>'10-9-25-EB'!C35</f>
        <v>8</v>
      </c>
      <c r="I28" s="19">
        <f>'10-23-25 AB'!G346</f>
        <v>12</v>
      </c>
      <c r="J28" s="14">
        <f>'8-4-25-MG'!E225</f>
        <v>1.909090909</v>
      </c>
      <c r="K28" s="13">
        <v>3.4</v>
      </c>
      <c r="L28" s="13">
        <f>average('9-1-25-LM'!D23:D37)</f>
        <v>3.8</v>
      </c>
      <c r="O28" s="21">
        <f>'10-9-25-EB'!G35</f>
        <v>3.3125</v>
      </c>
      <c r="P28" s="14">
        <f>'10-23-25 AB'!H346</f>
        <v>3.333333333</v>
      </c>
      <c r="Q28" s="16">
        <f>average('9-1-25-LM'!E23:E37)</f>
        <v>1.2</v>
      </c>
      <c r="R28" s="16"/>
      <c r="S28" s="16"/>
      <c r="T28" s="16"/>
      <c r="U28" s="16"/>
      <c r="V28" s="15">
        <f>'10-9-25-EB'!H35</f>
        <v>1</v>
      </c>
      <c r="W28" s="15">
        <f>'10-23-25 AB'!I346</f>
        <v>1</v>
      </c>
    </row>
    <row r="29">
      <c r="A29" s="8" t="s">
        <v>50</v>
      </c>
      <c r="B29" s="8">
        <v>15.0</v>
      </c>
      <c r="C29" s="9">
        <f>'8-4-25-MG'!G297</f>
        <v>11</v>
      </c>
      <c r="D29" s="9">
        <v>11.0</v>
      </c>
      <c r="E29" s="9">
        <v>15.0</v>
      </c>
      <c r="F29" s="10"/>
      <c r="G29" s="10"/>
      <c r="H29" s="9">
        <f>'10-9-25-EB'!C47</f>
        <v>12</v>
      </c>
      <c r="I29" s="19">
        <f>'10-23-25 AB'!G360</f>
        <v>14</v>
      </c>
      <c r="J29" s="14">
        <f>'8-4-25-MG'!E297</f>
        <v>2.454545455</v>
      </c>
      <c r="K29" s="13">
        <v>3.5</v>
      </c>
      <c r="L29" s="12">
        <f>average('9-1-25-LM'!D38:D53)</f>
        <v>4.75</v>
      </c>
      <c r="O29" s="21">
        <f>'10-9-25-EB'!G47</f>
        <v>3.958333333</v>
      </c>
      <c r="P29" s="14">
        <f>'10-23-25 AB'!H360</f>
        <v>3.071428571</v>
      </c>
      <c r="Q29" s="16"/>
      <c r="R29" s="16"/>
      <c r="S29" s="15">
        <f>average('9-1-25-LM'!E38:E53)</f>
        <v>1.0625</v>
      </c>
      <c r="T29" s="16"/>
      <c r="U29" s="16"/>
      <c r="V29" s="15">
        <f>'10-9-25-EB'!H47</f>
        <v>1</v>
      </c>
      <c r="W29" s="15">
        <f>'10-23-25 AB'!I360</f>
        <v>1</v>
      </c>
    </row>
    <row r="30">
      <c r="A30" s="8" t="s">
        <v>51</v>
      </c>
      <c r="B30" s="8">
        <v>0.0</v>
      </c>
      <c r="C30" s="10"/>
      <c r="D30" s="10"/>
      <c r="E30" s="10"/>
      <c r="F30" s="10"/>
      <c r="G30" s="10"/>
      <c r="H30" s="10"/>
      <c r="I30" s="10"/>
      <c r="K30" s="18"/>
      <c r="L30" s="18"/>
      <c r="Q30" s="16"/>
      <c r="R30" s="16"/>
      <c r="S30" s="16"/>
      <c r="T30" s="16"/>
      <c r="U30" s="16"/>
      <c r="V30" s="16"/>
      <c r="W30" s="16"/>
    </row>
    <row r="31">
      <c r="A31" s="8" t="s">
        <v>52</v>
      </c>
      <c r="B31" s="8">
        <v>0.0</v>
      </c>
      <c r="C31" s="10"/>
      <c r="D31" s="10"/>
      <c r="E31" s="10"/>
      <c r="F31" s="10"/>
      <c r="G31" s="10"/>
      <c r="H31" s="10"/>
      <c r="I31" s="10"/>
      <c r="K31" s="18"/>
      <c r="L31" s="18"/>
      <c r="Q31" s="16"/>
      <c r="R31" s="16"/>
      <c r="S31" s="16"/>
      <c r="T31" s="16"/>
      <c r="U31" s="16"/>
      <c r="V31" s="16"/>
      <c r="W31" s="16"/>
    </row>
    <row r="32">
      <c r="A32" s="8" t="s">
        <v>53</v>
      </c>
      <c r="B32" s="8">
        <v>9.0</v>
      </c>
      <c r="C32" s="9"/>
      <c r="D32" s="9">
        <v>9.0</v>
      </c>
      <c r="E32" s="10">
        <f>'9-1-25-LM'!B62</f>
        <v>7</v>
      </c>
      <c r="F32" s="9">
        <v>7.0</v>
      </c>
      <c r="G32" s="10"/>
      <c r="H32" s="9">
        <f>'10-9-25-EB'!C55</f>
        <v>8</v>
      </c>
      <c r="I32" s="19">
        <f>'10-23-25 AB'!G367</f>
        <v>7</v>
      </c>
      <c r="J32" s="14">
        <f>average('9-1-25-LM'!D54:D62)</f>
        <v>20.14285714</v>
      </c>
      <c r="K32" s="13">
        <v>20.9</v>
      </c>
      <c r="L32" s="12">
        <f>average('9-1-25-LM'!D54:D62)</f>
        <v>20.14285714</v>
      </c>
      <c r="O32" s="21">
        <f>'10-9-25-EB'!G55</f>
        <v>18.625</v>
      </c>
      <c r="P32" s="14">
        <f>'10-23-25 AB'!H367</f>
        <v>19.28571429</v>
      </c>
      <c r="Q32" s="15">
        <f>average('9-1-25-LM'!E54:E62)</f>
        <v>1.142857143</v>
      </c>
      <c r="R32" s="16"/>
      <c r="S32" s="16"/>
      <c r="T32" s="16"/>
      <c r="U32" s="16"/>
      <c r="V32" s="15">
        <f>'10-9-25-EB'!H55</f>
        <v>1</v>
      </c>
      <c r="W32" s="15">
        <f>'10-23-25 AB'!I367</f>
        <v>1</v>
      </c>
    </row>
    <row r="33">
      <c r="A33" s="8" t="s">
        <v>54</v>
      </c>
      <c r="B33" s="8">
        <v>10.0</v>
      </c>
      <c r="C33" s="9"/>
      <c r="D33" s="9">
        <v>10.0</v>
      </c>
      <c r="E33" s="10"/>
      <c r="F33" s="10"/>
      <c r="G33" s="10"/>
      <c r="H33" s="9">
        <v>0.0</v>
      </c>
      <c r="I33" s="10">
        <f>'10-23-25 AB'!G368</f>
        <v>1</v>
      </c>
      <c r="K33" s="13">
        <v>29.8</v>
      </c>
      <c r="L33" s="13"/>
      <c r="P33" s="14">
        <f>'10-23-25 AB'!H368</f>
        <v>13</v>
      </c>
      <c r="Q33" s="16"/>
      <c r="R33" s="16"/>
      <c r="S33" s="16"/>
      <c r="T33" s="16"/>
      <c r="U33" s="16"/>
      <c r="V33" s="16"/>
      <c r="W33" s="15">
        <f>'10-23-25 AB'!I380</f>
        <v>1</v>
      </c>
    </row>
    <row r="34">
      <c r="A34" s="8" t="s">
        <v>55</v>
      </c>
      <c r="B34" s="8">
        <v>5.0</v>
      </c>
      <c r="C34" s="10"/>
      <c r="D34" s="10"/>
      <c r="E34" s="10"/>
      <c r="F34" s="9">
        <v>5.0</v>
      </c>
      <c r="G34" s="10"/>
      <c r="H34" s="9">
        <v>5.0</v>
      </c>
      <c r="I34" s="19">
        <f>'10-23-25 AB'!G373</f>
        <v>5</v>
      </c>
      <c r="K34" s="18"/>
      <c r="L34" s="18"/>
      <c r="M34" s="8">
        <v>9.8</v>
      </c>
      <c r="O34" s="8">
        <v>2.8</v>
      </c>
      <c r="Q34" s="16"/>
      <c r="R34" s="16"/>
      <c r="S34" s="16"/>
      <c r="T34" s="16"/>
      <c r="U34" s="16"/>
      <c r="V34" s="16"/>
      <c r="W34" s="16"/>
    </row>
    <row r="35">
      <c r="A35" s="8" t="s">
        <v>56</v>
      </c>
      <c r="B35" s="8">
        <v>0.0</v>
      </c>
      <c r="C35" s="10"/>
      <c r="D35" s="10"/>
      <c r="E35" s="10"/>
      <c r="F35" s="9"/>
      <c r="G35" s="10"/>
      <c r="H35" s="10"/>
      <c r="I35" s="10"/>
      <c r="K35" s="18"/>
      <c r="L35" s="18"/>
      <c r="Q35" s="16"/>
      <c r="R35" s="16"/>
      <c r="S35" s="16"/>
      <c r="T35" s="16"/>
      <c r="U35" s="16"/>
      <c r="V35" s="16"/>
      <c r="W35" s="16"/>
    </row>
    <row r="36">
      <c r="A36" s="8" t="s">
        <v>57</v>
      </c>
      <c r="B36" s="8">
        <v>7.0</v>
      </c>
      <c r="C36" s="10"/>
      <c r="D36" s="10"/>
      <c r="E36" s="10"/>
      <c r="F36" s="9">
        <v>7.0</v>
      </c>
      <c r="G36" s="10"/>
      <c r="H36" s="9">
        <v>7.0</v>
      </c>
      <c r="I36" s="19">
        <f>'10-23-25 AB'!G380</f>
        <v>7</v>
      </c>
      <c r="K36" s="18"/>
      <c r="L36" s="18"/>
      <c r="M36" s="8">
        <v>2.9</v>
      </c>
      <c r="O36" s="8">
        <v>2.6</v>
      </c>
      <c r="P36" s="14">
        <f>'10-23-25 AB'!H380</f>
        <v>2.142857143</v>
      </c>
      <c r="Q36" s="16"/>
      <c r="R36" s="16"/>
      <c r="S36" s="16"/>
      <c r="T36" s="16"/>
      <c r="U36" s="16"/>
      <c r="V36" s="16"/>
      <c r="W36" s="15">
        <f>'10-23-25 AB'!I380</f>
        <v>1</v>
      </c>
    </row>
    <row r="37">
      <c r="A37" s="8" t="s">
        <v>58</v>
      </c>
      <c r="B37" s="8">
        <v>0.0</v>
      </c>
      <c r="C37" s="10"/>
      <c r="D37" s="10"/>
      <c r="E37" s="10"/>
      <c r="F37" s="10"/>
      <c r="G37" s="10"/>
      <c r="H37" s="10"/>
      <c r="I37" s="10"/>
      <c r="K37" s="18"/>
      <c r="L37" s="18"/>
      <c r="P37" s="22" t="str">
        <f>#REF!</f>
        <v>#REF!</v>
      </c>
      <c r="Q37" s="16"/>
      <c r="R37" s="16"/>
      <c r="S37" s="16"/>
      <c r="T37" s="16"/>
      <c r="U37" s="16"/>
      <c r="V37" s="16"/>
      <c r="W37" s="16" t="str">
        <f>#REF!</f>
        <v>#REF!</v>
      </c>
    </row>
    <row r="38">
      <c r="A38" s="8" t="s">
        <v>59</v>
      </c>
      <c r="B38" s="8">
        <v>7.0</v>
      </c>
      <c r="C38" s="9">
        <f>'8-4-25-MG'!G114</f>
        <v>4</v>
      </c>
      <c r="D38" s="9">
        <v>5.0</v>
      </c>
      <c r="E38" s="9">
        <v>4.0</v>
      </c>
      <c r="F38" s="10">
        <f>'9-11-25-KT'!C9</f>
        <v>4</v>
      </c>
      <c r="G38" s="10"/>
      <c r="H38" s="9">
        <v>4.0</v>
      </c>
      <c r="I38" s="19">
        <f>'10-23-25 AB'!G390</f>
        <v>4</v>
      </c>
      <c r="J38" s="18">
        <f>'8-4-25-MG'!E114</f>
        <v>22.5</v>
      </c>
      <c r="K38" s="18"/>
      <c r="L38" s="12">
        <v>16.0</v>
      </c>
      <c r="M38" s="22">
        <f>average('9-11-25-KT'!D6:D9)</f>
        <v>12.5</v>
      </c>
      <c r="O38" s="8">
        <v>10.8</v>
      </c>
      <c r="P38" s="14">
        <f>'10-23-25 AB'!H390</f>
        <v>16</v>
      </c>
      <c r="Q38" s="16"/>
      <c r="R38" s="16"/>
      <c r="S38" s="16"/>
      <c r="T38" s="16"/>
      <c r="U38" s="16"/>
      <c r="V38" s="16"/>
      <c r="W38" s="16"/>
    </row>
    <row r="39">
      <c r="A39" s="8" t="s">
        <v>60</v>
      </c>
      <c r="B39" s="8">
        <v>7.0</v>
      </c>
      <c r="C39" s="9">
        <f>'8-4-25-MG'!G205</f>
        <v>5</v>
      </c>
      <c r="D39" s="9">
        <v>3.0</v>
      </c>
      <c r="E39" s="9">
        <v>6.0</v>
      </c>
      <c r="F39" s="10">
        <f>'9-11-25-KT'!C13</f>
        <v>4</v>
      </c>
      <c r="G39" s="10"/>
      <c r="H39" s="9">
        <v>4.0</v>
      </c>
      <c r="I39" s="19">
        <f>'10-23-25 AB'!G395</f>
        <v>5</v>
      </c>
      <c r="J39" s="18">
        <f>'8-4-25-MG'!E205</f>
        <v>16.7</v>
      </c>
      <c r="K39" s="18"/>
      <c r="L39" s="12">
        <v>14.7</v>
      </c>
      <c r="M39" s="14">
        <f>average('9-11-25-KT'!D10:D13)</f>
        <v>14.25</v>
      </c>
      <c r="O39" s="8">
        <v>14.3</v>
      </c>
      <c r="P39" s="14">
        <f>'10-23-25 AB'!H395</f>
        <v>19.6</v>
      </c>
      <c r="Q39" s="16"/>
      <c r="R39" s="16"/>
      <c r="S39" s="16"/>
      <c r="T39" s="16"/>
      <c r="U39" s="16"/>
      <c r="V39" s="16"/>
      <c r="W39" s="16"/>
    </row>
    <row r="40">
      <c r="A40" s="8" t="s">
        <v>61</v>
      </c>
      <c r="B40" s="8">
        <v>32.0</v>
      </c>
      <c r="C40" s="9">
        <f>'8-4-25-MG'!G276</f>
        <v>27</v>
      </c>
      <c r="D40" s="9">
        <v>24.0</v>
      </c>
      <c r="E40" s="9">
        <v>24.0</v>
      </c>
      <c r="F40" s="10">
        <f>'9-11-25-KT'!C39</f>
        <v>26</v>
      </c>
      <c r="G40" s="10"/>
      <c r="H40" s="9">
        <v>26.0</v>
      </c>
      <c r="I40" s="19">
        <f>'10-23-25 AB'!G404</f>
        <v>9</v>
      </c>
      <c r="J40" s="20">
        <f>'8-4-25-MG'!E276</f>
        <v>6.037037037</v>
      </c>
      <c r="K40" s="18"/>
      <c r="L40" s="12">
        <v>7.5</v>
      </c>
      <c r="M40" s="14">
        <f>average('9-11-25-KT'!D14:D39)</f>
        <v>6.384615385</v>
      </c>
      <c r="O40" s="8">
        <v>6.4</v>
      </c>
      <c r="Q40" s="16"/>
      <c r="R40" s="16"/>
      <c r="S40" s="16"/>
      <c r="T40" s="16"/>
      <c r="U40" s="16"/>
      <c r="V40" s="16"/>
      <c r="W40" s="16"/>
    </row>
    <row r="41">
      <c r="A41" s="8" t="s">
        <v>62</v>
      </c>
      <c r="B41" s="8">
        <v>30.0</v>
      </c>
      <c r="C41" s="9">
        <f>'8-4-25-MG'!G352</f>
        <v>29</v>
      </c>
      <c r="D41" s="9">
        <v>26.0</v>
      </c>
      <c r="E41" s="9">
        <v>26.0</v>
      </c>
      <c r="F41" s="10">
        <f>'9-11-25-KT'!C49</f>
        <v>10</v>
      </c>
      <c r="G41" s="10"/>
      <c r="H41" s="9">
        <v>24.0</v>
      </c>
      <c r="I41" s="19">
        <f>'10-23-25 AB'!G413</f>
        <v>9</v>
      </c>
      <c r="J41" s="20">
        <f>'8-4-25-MG'!E352</f>
        <v>8.689655172</v>
      </c>
      <c r="K41" s="18"/>
      <c r="L41" s="12">
        <v>7.2</v>
      </c>
      <c r="M41" s="22">
        <f>average('9-11-25-KT'!D40:D49)</f>
        <v>6.6</v>
      </c>
      <c r="O41" s="8">
        <v>5.5</v>
      </c>
      <c r="P41" s="14">
        <f>'10-23-25 AB'!H413</f>
        <v>9.444444444</v>
      </c>
      <c r="Q41" s="16"/>
      <c r="R41" s="16"/>
      <c r="S41" s="16"/>
      <c r="T41" s="16"/>
      <c r="U41" s="16"/>
      <c r="V41" s="16"/>
      <c r="W41" s="16"/>
    </row>
    <row r="42">
      <c r="A42" s="8" t="s">
        <v>63</v>
      </c>
      <c r="B42" s="8">
        <v>32.0</v>
      </c>
      <c r="C42" s="9">
        <f>'8-4-25-MG'!G392</f>
        <v>31</v>
      </c>
      <c r="D42" s="9">
        <v>31.0</v>
      </c>
      <c r="E42" s="9">
        <v>32.0</v>
      </c>
      <c r="F42" s="10"/>
      <c r="G42" s="10"/>
      <c r="H42" s="9">
        <v>28.0</v>
      </c>
      <c r="I42" s="19">
        <f>'10-23-25 AB'!G436</f>
        <v>23</v>
      </c>
      <c r="J42" s="20">
        <f>'8-4-25-MG'!E392</f>
        <v>10.9516129</v>
      </c>
      <c r="K42" s="18"/>
      <c r="L42" s="12">
        <v>14.4</v>
      </c>
      <c r="O42" s="8">
        <v>15.3</v>
      </c>
      <c r="P42" s="14">
        <f>'10-23-25 AB'!H436</f>
        <v>15.56521739</v>
      </c>
      <c r="Q42" s="16"/>
      <c r="R42" s="16"/>
      <c r="S42" s="16"/>
      <c r="T42" s="16"/>
      <c r="U42" s="16"/>
      <c r="V42" s="16"/>
      <c r="W42" s="16"/>
    </row>
    <row r="43">
      <c r="A43" s="8" t="s">
        <v>64</v>
      </c>
      <c r="B43" s="8">
        <v>32.0</v>
      </c>
      <c r="C43" s="9">
        <f>'8-4-25-MG'!G420</f>
        <v>21</v>
      </c>
      <c r="D43" s="9">
        <v>21.0</v>
      </c>
      <c r="E43" s="9">
        <v>21.0</v>
      </c>
      <c r="F43" s="10"/>
      <c r="G43" s="10"/>
      <c r="H43" s="9">
        <v>18.0</v>
      </c>
      <c r="I43" s="19">
        <f>'10-23-25 AB'!G451</f>
        <v>15</v>
      </c>
      <c r="J43" s="20">
        <f>'8-4-25-MG'!E420</f>
        <v>9.047619048</v>
      </c>
      <c r="K43" s="18"/>
      <c r="L43" s="12">
        <v>7.1</v>
      </c>
      <c r="O43" s="8">
        <v>5.9</v>
      </c>
      <c r="Q43" s="16"/>
      <c r="R43" s="16"/>
      <c r="S43" s="16"/>
      <c r="T43" s="16"/>
      <c r="U43" s="16"/>
      <c r="V43" s="16"/>
      <c r="W43" s="16"/>
    </row>
    <row r="44">
      <c r="A44" s="8" t="s">
        <v>65</v>
      </c>
      <c r="B44" s="8">
        <v>6.0</v>
      </c>
      <c r="C44" s="9"/>
      <c r="D44" s="9">
        <v>6.0</v>
      </c>
      <c r="E44" s="9">
        <v>6.0</v>
      </c>
      <c r="F44" s="10"/>
      <c r="G44" s="10"/>
      <c r="H44" s="9">
        <v>6.0</v>
      </c>
      <c r="I44" s="19">
        <f>'10-23-25 AB'!G458</f>
        <v>7</v>
      </c>
      <c r="J44" s="18"/>
      <c r="K44" s="18"/>
      <c r="L44" s="12">
        <v>19.8</v>
      </c>
      <c r="O44" s="8">
        <v>19.8</v>
      </c>
      <c r="Q44" s="16"/>
      <c r="R44" s="16"/>
      <c r="S44" s="16"/>
      <c r="T44" s="16"/>
      <c r="U44" s="16"/>
      <c r="V44" s="16"/>
      <c r="W44" s="16"/>
    </row>
    <row r="45">
      <c r="A45" s="8" t="s">
        <v>66</v>
      </c>
      <c r="B45" s="8">
        <v>10.0</v>
      </c>
      <c r="C45" s="9"/>
      <c r="D45" s="9">
        <v>10.0</v>
      </c>
      <c r="E45" s="9">
        <v>9.0</v>
      </c>
      <c r="F45" s="10"/>
      <c r="G45" s="10"/>
      <c r="H45" s="9">
        <v>9.0</v>
      </c>
      <c r="I45" s="19">
        <f>'10-23-25 AB'!G466</f>
        <v>8</v>
      </c>
      <c r="J45" s="18"/>
      <c r="K45" s="18"/>
      <c r="L45" s="12">
        <v>10.8</v>
      </c>
      <c r="O45" s="8">
        <v>10.9</v>
      </c>
      <c r="Q45" s="16"/>
      <c r="R45" s="16"/>
      <c r="S45" s="16"/>
      <c r="T45" s="16"/>
      <c r="U45" s="16"/>
      <c r="V45" s="16"/>
      <c r="W45" s="16"/>
    </row>
    <row r="46">
      <c r="A46" s="8" t="s">
        <v>67</v>
      </c>
      <c r="B46" s="8">
        <v>25.0</v>
      </c>
      <c r="C46" s="10"/>
      <c r="D46" s="10"/>
      <c r="E46" s="10"/>
      <c r="F46" s="9">
        <v>25.0</v>
      </c>
      <c r="G46" s="10"/>
      <c r="H46" s="9">
        <v>22.0</v>
      </c>
      <c r="I46" s="19">
        <f>'10-23-25 AB'!G487</f>
        <v>21</v>
      </c>
      <c r="J46" s="18"/>
      <c r="K46" s="18"/>
      <c r="L46" s="12"/>
      <c r="M46" s="21">
        <f>'9-11-25-KT'!G71</f>
        <v>9.772727273</v>
      </c>
      <c r="O46" s="8">
        <v>5.5</v>
      </c>
      <c r="Q46" s="16"/>
      <c r="R46" s="16"/>
      <c r="S46" s="16"/>
      <c r="T46" s="16"/>
      <c r="U46" s="16"/>
      <c r="V46" s="16"/>
      <c r="W46" s="16"/>
    </row>
    <row r="47">
      <c r="A47" s="8" t="s">
        <v>68</v>
      </c>
      <c r="B47" s="8">
        <v>24.0</v>
      </c>
      <c r="C47" s="10"/>
      <c r="D47" s="10"/>
      <c r="E47" s="10"/>
      <c r="F47" s="9">
        <v>24.0</v>
      </c>
      <c r="G47" s="10"/>
      <c r="H47" s="9">
        <v>14.0</v>
      </c>
      <c r="I47" s="19">
        <f>'10-23-25 AB'!G501</f>
        <v>14</v>
      </c>
      <c r="J47" s="18"/>
      <c r="K47" s="18"/>
      <c r="L47" s="12"/>
      <c r="M47" s="21">
        <f>'9-11-25-KT'!G95</f>
        <v>8.083333333</v>
      </c>
      <c r="O47" s="8">
        <v>4.4</v>
      </c>
      <c r="Q47" s="16"/>
      <c r="R47" s="16"/>
      <c r="S47" s="16"/>
      <c r="T47" s="16"/>
      <c r="U47" s="16"/>
      <c r="V47" s="16"/>
      <c r="W47" s="16"/>
    </row>
    <row r="48">
      <c r="A48" s="8" t="s">
        <v>69</v>
      </c>
      <c r="B48" s="8">
        <v>25.0</v>
      </c>
      <c r="C48" s="10"/>
      <c r="D48" s="10"/>
      <c r="E48" s="10"/>
      <c r="F48" s="9">
        <v>25.0</v>
      </c>
      <c r="G48" s="10"/>
      <c r="H48" s="9">
        <v>25.0</v>
      </c>
      <c r="I48" s="19">
        <f>'10-23-25 AB'!G520</f>
        <v>19</v>
      </c>
      <c r="J48" s="18"/>
      <c r="K48" s="18"/>
      <c r="L48" s="12"/>
      <c r="M48" s="21">
        <f>'9-11-25-KT'!G120</f>
        <v>7.8</v>
      </c>
      <c r="O48" s="8">
        <v>7.8</v>
      </c>
      <c r="P48" s="14">
        <f>'10-23-25 AB'!H520</f>
        <v>8.052631579</v>
      </c>
      <c r="Q48" s="16"/>
      <c r="R48" s="16"/>
      <c r="S48" s="16"/>
      <c r="T48" s="16"/>
      <c r="U48" s="16"/>
      <c r="V48" s="16"/>
      <c r="W48" s="16"/>
    </row>
    <row r="49">
      <c r="A49" s="8" t="s">
        <v>70</v>
      </c>
      <c r="B49" s="8">
        <v>24.0</v>
      </c>
      <c r="C49" s="10"/>
      <c r="D49" s="10"/>
      <c r="E49" s="10"/>
      <c r="F49" s="9">
        <v>24.0</v>
      </c>
      <c r="G49" s="10"/>
      <c r="H49" s="9">
        <v>22.0</v>
      </c>
      <c r="I49" s="19">
        <f>'10-23-25 AB'!G539</f>
        <v>19</v>
      </c>
      <c r="J49" s="18"/>
      <c r="K49" s="18"/>
      <c r="L49" s="12"/>
      <c r="M49" s="14">
        <f>'9-11-25-KT'!G142</f>
        <v>8.272727273</v>
      </c>
      <c r="O49" s="8">
        <v>8.3</v>
      </c>
      <c r="P49" s="14">
        <f>'10-23-25 AB'!H539</f>
        <v>8.105263158</v>
      </c>
      <c r="Q49" s="16"/>
      <c r="R49" s="16"/>
      <c r="S49" s="16"/>
      <c r="T49" s="16"/>
      <c r="U49" s="16"/>
      <c r="V49" s="16"/>
      <c r="W49" s="16"/>
    </row>
    <row r="50">
      <c r="A50" s="8" t="s">
        <v>71</v>
      </c>
      <c r="B50" s="8">
        <v>0.0</v>
      </c>
      <c r="C50" s="10"/>
      <c r="D50" s="10"/>
      <c r="E50" s="10"/>
      <c r="F50" s="10"/>
      <c r="G50" s="10"/>
      <c r="H50" s="10"/>
      <c r="I50" s="10"/>
      <c r="J50" s="18"/>
      <c r="K50" s="18"/>
      <c r="L50" s="20"/>
      <c r="Q50" s="16"/>
      <c r="R50" s="16"/>
      <c r="S50" s="16"/>
      <c r="T50" s="16"/>
      <c r="U50" s="16"/>
      <c r="V50" s="16"/>
      <c r="W50" s="16"/>
    </row>
    <row r="51">
      <c r="A51" s="8" t="s">
        <v>72</v>
      </c>
      <c r="B51" s="8">
        <v>0.0</v>
      </c>
      <c r="C51" s="10"/>
      <c r="D51" s="10"/>
      <c r="E51" s="10"/>
      <c r="F51" s="10"/>
      <c r="G51" s="10"/>
      <c r="H51" s="10"/>
      <c r="I51" s="10"/>
      <c r="J51" s="18"/>
      <c r="K51" s="18"/>
      <c r="L51" s="20"/>
      <c r="Q51" s="16"/>
      <c r="R51" s="16"/>
      <c r="S51" s="16"/>
      <c r="T51" s="16"/>
      <c r="U51" s="16"/>
      <c r="V51" s="16"/>
      <c r="W51" s="16"/>
    </row>
    <row r="52">
      <c r="A52" s="8" t="s">
        <v>73</v>
      </c>
      <c r="B52" s="8">
        <v>10.0</v>
      </c>
      <c r="C52" s="9">
        <f>'8-4-25-MG'!G283</f>
        <v>4</v>
      </c>
      <c r="D52" s="10"/>
      <c r="E52" s="10"/>
      <c r="F52" s="10"/>
      <c r="G52" s="10"/>
      <c r="H52" s="9">
        <v>0.0</v>
      </c>
      <c r="I52" s="10"/>
      <c r="J52" s="20">
        <f>'8-4-25-MG'!E283</f>
        <v>2.625</v>
      </c>
      <c r="K52" s="18"/>
      <c r="L52" s="20"/>
      <c r="Q52" s="16"/>
      <c r="R52" s="16"/>
      <c r="S52" s="16"/>
      <c r="T52" s="16"/>
      <c r="U52" s="16"/>
      <c r="V52" s="16"/>
      <c r="W52" s="16"/>
    </row>
    <row r="53">
      <c r="A53" s="8" t="s">
        <v>74</v>
      </c>
      <c r="B53" s="8">
        <v>0.0</v>
      </c>
      <c r="C53" s="10"/>
      <c r="D53" s="10"/>
      <c r="E53" s="10"/>
      <c r="F53" s="10"/>
      <c r="G53" s="10"/>
      <c r="H53" s="10"/>
      <c r="I53" s="10"/>
      <c r="J53" s="18"/>
      <c r="K53" s="18"/>
      <c r="L53" s="20"/>
      <c r="Q53" s="16"/>
      <c r="R53" s="16"/>
      <c r="S53" s="16"/>
      <c r="T53" s="16"/>
      <c r="U53" s="16"/>
      <c r="V53" s="16"/>
      <c r="W53" s="16"/>
    </row>
    <row r="54">
      <c r="A54" s="8" t="s">
        <v>75</v>
      </c>
      <c r="B54" s="8">
        <v>3.0</v>
      </c>
      <c r="C54" s="9"/>
      <c r="D54" s="9">
        <v>3.0</v>
      </c>
      <c r="E54" s="10"/>
      <c r="F54" s="10"/>
      <c r="G54" s="10"/>
      <c r="H54" s="9">
        <v>0.0</v>
      </c>
      <c r="I54" s="19">
        <f>'10-23-25 AB'!G547</f>
        <v>2</v>
      </c>
      <c r="J54" s="13"/>
      <c r="K54" s="13">
        <v>9.0</v>
      </c>
      <c r="L54" s="20"/>
      <c r="Q54" s="16"/>
      <c r="R54" s="16"/>
      <c r="S54" s="16"/>
      <c r="T54" s="16"/>
      <c r="U54" s="16"/>
      <c r="V54" s="16"/>
      <c r="W54" s="16"/>
    </row>
    <row r="55">
      <c r="A55" s="8" t="s">
        <v>76</v>
      </c>
      <c r="B55" s="8">
        <v>5.0</v>
      </c>
      <c r="C55" s="9"/>
      <c r="D55" s="9">
        <v>5.0</v>
      </c>
      <c r="E55" s="10"/>
      <c r="F55" s="9">
        <v>4.0</v>
      </c>
      <c r="G55" s="10"/>
      <c r="H55" s="9">
        <v>4.0</v>
      </c>
      <c r="I55" s="19">
        <f>'10-23-25 AB'!G552</f>
        <v>5</v>
      </c>
      <c r="J55" s="13"/>
      <c r="K55" s="13">
        <v>6.7</v>
      </c>
      <c r="L55" s="20"/>
      <c r="O55" s="21">
        <f>'10-9-25-EB'!G94</f>
        <v>4.75</v>
      </c>
      <c r="Q55" s="16"/>
      <c r="R55" s="16"/>
      <c r="S55" s="16"/>
      <c r="T55" s="16"/>
      <c r="U55" s="16"/>
      <c r="V55" s="16"/>
      <c r="W55" s="16"/>
    </row>
    <row r="56">
      <c r="A56" s="8" t="s">
        <v>77</v>
      </c>
      <c r="B56" s="8">
        <v>0.0</v>
      </c>
      <c r="C56" s="10"/>
      <c r="D56" s="10"/>
      <c r="E56" s="10"/>
      <c r="F56" s="10"/>
      <c r="G56" s="10"/>
      <c r="H56" s="10"/>
      <c r="I56" s="10"/>
      <c r="J56" s="18"/>
      <c r="K56" s="18"/>
      <c r="L56" s="20"/>
      <c r="Q56" s="16"/>
      <c r="R56" s="16"/>
      <c r="S56" s="16"/>
      <c r="T56" s="16"/>
      <c r="U56" s="16"/>
      <c r="V56" s="16"/>
      <c r="W56" s="16"/>
    </row>
    <row r="57">
      <c r="A57" s="8" t="s">
        <v>78</v>
      </c>
      <c r="B57" s="8">
        <v>0.0</v>
      </c>
      <c r="C57" s="10"/>
      <c r="D57" s="10"/>
      <c r="E57" s="10"/>
      <c r="F57" s="10"/>
      <c r="G57" s="10"/>
      <c r="H57" s="10"/>
      <c r="I57" s="10"/>
      <c r="J57" s="18"/>
      <c r="K57" s="18"/>
      <c r="L57" s="20"/>
      <c r="Q57" s="16"/>
      <c r="R57" s="16"/>
      <c r="S57" s="16"/>
      <c r="T57" s="16"/>
      <c r="U57" s="16"/>
      <c r="V57" s="16"/>
      <c r="W57" s="16"/>
    </row>
    <row r="58">
      <c r="A58" s="8" t="s">
        <v>79</v>
      </c>
      <c r="B58" s="8">
        <v>0.0</v>
      </c>
      <c r="C58" s="10"/>
      <c r="D58" s="10"/>
      <c r="E58" s="10"/>
      <c r="F58" s="10"/>
      <c r="G58" s="10"/>
      <c r="H58" s="10"/>
      <c r="I58" s="10"/>
      <c r="J58" s="18"/>
      <c r="K58" s="18"/>
      <c r="L58" s="20"/>
      <c r="Q58" s="16"/>
      <c r="R58" s="16"/>
      <c r="S58" s="16"/>
      <c r="T58" s="16"/>
      <c r="U58" s="16"/>
      <c r="V58" s="16"/>
      <c r="W58" s="16"/>
    </row>
    <row r="59">
      <c r="A59" s="8" t="s">
        <v>80</v>
      </c>
      <c r="B59" s="8">
        <v>0.0</v>
      </c>
      <c r="C59" s="10"/>
      <c r="D59" s="10"/>
      <c r="E59" s="10"/>
      <c r="F59" s="10"/>
      <c r="G59" s="10"/>
      <c r="H59" s="10"/>
      <c r="I59" s="10"/>
      <c r="J59" s="18"/>
      <c r="K59" s="18"/>
      <c r="L59" s="20"/>
      <c r="Q59" s="16"/>
      <c r="R59" s="16"/>
      <c r="S59" s="16"/>
      <c r="T59" s="16"/>
      <c r="U59" s="16"/>
      <c r="V59" s="16"/>
      <c r="W59" s="16"/>
    </row>
    <row r="60">
      <c r="A60" s="8" t="s">
        <v>81</v>
      </c>
      <c r="B60" s="8">
        <v>0.0</v>
      </c>
      <c r="C60" s="10"/>
      <c r="D60" s="10"/>
      <c r="E60" s="10"/>
      <c r="F60" s="10"/>
      <c r="G60" s="10"/>
      <c r="H60" s="10"/>
      <c r="I60" s="10"/>
      <c r="J60" s="18"/>
      <c r="K60" s="18"/>
      <c r="L60" s="20"/>
      <c r="Q60" s="16"/>
      <c r="R60" s="16"/>
      <c r="S60" s="16"/>
      <c r="T60" s="16"/>
      <c r="U60" s="16"/>
      <c r="V60" s="16"/>
      <c r="W60" s="16"/>
    </row>
    <row r="61">
      <c r="A61" s="8" t="s">
        <v>82</v>
      </c>
      <c r="B61" s="8">
        <v>0.0</v>
      </c>
      <c r="C61" s="10"/>
      <c r="D61" s="10"/>
      <c r="E61" s="10"/>
      <c r="F61" s="10"/>
      <c r="G61" s="10"/>
      <c r="H61" s="10"/>
      <c r="I61" s="10"/>
      <c r="J61" s="18"/>
      <c r="K61" s="18"/>
      <c r="L61" s="20"/>
      <c r="Q61" s="16"/>
      <c r="R61" s="16"/>
      <c r="S61" s="16"/>
      <c r="T61" s="16"/>
      <c r="U61" s="16"/>
      <c r="V61" s="16"/>
      <c r="W61" s="16"/>
    </row>
    <row r="62">
      <c r="A62" s="8" t="s">
        <v>83</v>
      </c>
      <c r="B62" s="8">
        <v>5.0</v>
      </c>
      <c r="C62" s="9">
        <f>'8-4-25-MG'!G210</f>
        <v>1</v>
      </c>
      <c r="D62" s="9">
        <v>2.0</v>
      </c>
      <c r="E62" s="10"/>
      <c r="F62" s="10"/>
      <c r="G62" s="10"/>
      <c r="H62" s="9">
        <v>0.0</v>
      </c>
      <c r="I62" s="19">
        <f>'10-23-25 AB'!G559</f>
        <v>1</v>
      </c>
      <c r="J62" s="18">
        <f>'8-4-25-MG'!E116</f>
        <v>20.25</v>
      </c>
      <c r="K62" s="18"/>
      <c r="L62" s="20"/>
      <c r="Q62" s="16"/>
      <c r="R62" s="16"/>
      <c r="S62" s="16"/>
      <c r="T62" s="16"/>
      <c r="U62" s="16"/>
      <c r="V62" s="16"/>
      <c r="W62" s="16"/>
    </row>
    <row r="63">
      <c r="A63" s="8" t="s">
        <v>84</v>
      </c>
      <c r="B63" s="8">
        <v>5.0</v>
      </c>
      <c r="C63" s="9">
        <v>1.0</v>
      </c>
      <c r="D63" s="9">
        <v>1.0</v>
      </c>
      <c r="E63" s="10"/>
      <c r="F63" s="10"/>
      <c r="G63" s="10"/>
      <c r="H63" s="9">
        <v>0.0</v>
      </c>
      <c r="I63" s="10"/>
      <c r="J63" s="18">
        <f>'8-4-25-MG'!E210</f>
        <v>12</v>
      </c>
      <c r="K63" s="18"/>
      <c r="L63" s="20"/>
      <c r="Q63" s="16"/>
      <c r="R63" s="16"/>
      <c r="S63" s="16"/>
      <c r="T63" s="16"/>
      <c r="U63" s="16"/>
      <c r="V63" s="16"/>
      <c r="W63" s="16"/>
    </row>
    <row r="64">
      <c r="A64" s="8" t="s">
        <v>85</v>
      </c>
      <c r="B64" s="8">
        <v>9.0</v>
      </c>
      <c r="C64" s="9">
        <f>'8-4-25-MG'!G286</f>
        <v>2</v>
      </c>
      <c r="D64" s="9">
        <v>1.0</v>
      </c>
      <c r="E64" s="10"/>
      <c r="F64" s="9">
        <v>0.0</v>
      </c>
      <c r="G64" s="10"/>
      <c r="H64" s="9">
        <v>0.0</v>
      </c>
      <c r="I64" s="10"/>
      <c r="J64" s="18">
        <f>'8-4-25-MG'!E286</f>
        <v>8.5</v>
      </c>
      <c r="K64" s="18"/>
      <c r="L64" s="20"/>
      <c r="Q64" s="16"/>
      <c r="R64" s="16"/>
      <c r="S64" s="16"/>
      <c r="T64" s="16"/>
      <c r="U64" s="16"/>
      <c r="V64" s="16"/>
      <c r="W64" s="16"/>
    </row>
    <row r="65">
      <c r="A65" s="8" t="s">
        <v>86</v>
      </c>
      <c r="B65" s="8">
        <v>9.0</v>
      </c>
      <c r="C65" s="9">
        <f>'8-4-25-MG'!G361</f>
        <v>2</v>
      </c>
      <c r="D65" s="9">
        <v>4.0</v>
      </c>
      <c r="E65" s="10"/>
      <c r="F65" s="9">
        <v>0.0</v>
      </c>
      <c r="G65" s="10"/>
      <c r="H65" s="9">
        <v>0.0</v>
      </c>
      <c r="I65" s="19">
        <f>'10-23-25 AB'!G560</f>
        <v>1</v>
      </c>
      <c r="J65" s="18">
        <f>'8-4-25-MG'!E361</f>
        <v>9</v>
      </c>
      <c r="K65" s="18"/>
      <c r="L65" s="20"/>
      <c r="Q65" s="16"/>
      <c r="R65" s="16"/>
      <c r="S65" s="16"/>
      <c r="T65" s="16"/>
      <c r="U65" s="16"/>
      <c r="V65" s="16"/>
      <c r="W65" s="16"/>
    </row>
    <row r="66">
      <c r="A66" s="8" t="s">
        <v>87</v>
      </c>
      <c r="B66" s="8">
        <v>6.0</v>
      </c>
      <c r="C66" s="9"/>
      <c r="D66" s="9">
        <v>6.0</v>
      </c>
      <c r="E66" s="10"/>
      <c r="F66" s="9">
        <v>0.0</v>
      </c>
      <c r="G66" s="10"/>
      <c r="H66" s="9">
        <v>0.0</v>
      </c>
      <c r="I66" s="19">
        <f>'10-23-25 AB'!G564</f>
        <v>4</v>
      </c>
      <c r="J66" s="13"/>
      <c r="K66" s="13">
        <v>5.4</v>
      </c>
      <c r="L66" s="20"/>
      <c r="Q66" s="16"/>
      <c r="R66" s="16"/>
      <c r="S66" s="16"/>
      <c r="T66" s="16"/>
      <c r="U66" s="16"/>
      <c r="V66" s="16"/>
      <c r="W66" s="16"/>
    </row>
    <row r="67">
      <c r="A67" s="8" t="s">
        <v>88</v>
      </c>
      <c r="B67" s="8">
        <v>6.0</v>
      </c>
      <c r="C67" s="9"/>
      <c r="D67" s="9">
        <v>6.0</v>
      </c>
      <c r="E67" s="10"/>
      <c r="F67" s="9">
        <v>0.0</v>
      </c>
      <c r="G67" s="10"/>
      <c r="H67" s="9">
        <v>1.0</v>
      </c>
      <c r="I67" s="10"/>
      <c r="J67" s="13"/>
      <c r="K67" s="13">
        <v>7.8</v>
      </c>
      <c r="L67" s="20"/>
      <c r="N67" s="8">
        <v>6.0</v>
      </c>
      <c r="Q67" s="16"/>
      <c r="R67" s="16"/>
      <c r="S67" s="16"/>
      <c r="T67" s="16"/>
      <c r="U67" s="16"/>
      <c r="V67" s="16"/>
      <c r="W67" s="16"/>
    </row>
    <row r="68">
      <c r="A68" s="8" t="s">
        <v>89</v>
      </c>
      <c r="B68" s="8">
        <v>6.0</v>
      </c>
      <c r="C68" s="9"/>
      <c r="D68" s="9">
        <v>6.0</v>
      </c>
      <c r="E68" s="10"/>
      <c r="F68" s="9">
        <v>1.0</v>
      </c>
      <c r="G68" s="10"/>
      <c r="H68" s="9">
        <v>2.0</v>
      </c>
      <c r="I68" s="19">
        <f>'10-23-25 AB'!G566</f>
        <v>2</v>
      </c>
      <c r="J68" s="13"/>
      <c r="K68" s="13">
        <v>18.8</v>
      </c>
      <c r="L68" s="20"/>
      <c r="N68" s="21">
        <f>'10-9-25-EB'!G107</f>
        <v>9.5</v>
      </c>
      <c r="Q68" s="16"/>
      <c r="R68" s="16"/>
      <c r="S68" s="16"/>
      <c r="T68" s="16"/>
      <c r="U68" s="16"/>
      <c r="V68" s="16"/>
      <c r="W68" s="16"/>
    </row>
    <row r="69">
      <c r="A69" s="8" t="s">
        <v>90</v>
      </c>
      <c r="B69" s="8">
        <v>6.0</v>
      </c>
      <c r="C69" s="9"/>
      <c r="D69" s="9">
        <v>6.0</v>
      </c>
      <c r="E69" s="10"/>
      <c r="F69" s="10"/>
      <c r="G69" s="10"/>
      <c r="H69" s="9">
        <v>2.0</v>
      </c>
      <c r="I69" s="19">
        <f>'10-23-25 AB'!G568</f>
        <v>2</v>
      </c>
      <c r="J69" s="13"/>
      <c r="K69" s="13">
        <v>19.6</v>
      </c>
      <c r="L69" s="20"/>
      <c r="N69" s="8">
        <v>8.5</v>
      </c>
      <c r="O69" s="14">
        <f>'10-9-25-EB'!G109</f>
        <v>13.5</v>
      </c>
      <c r="Q69" s="16"/>
      <c r="R69" s="16"/>
      <c r="S69" s="16"/>
      <c r="T69" s="16"/>
      <c r="U69" s="16"/>
      <c r="V69" s="16"/>
      <c r="W69" s="16"/>
    </row>
    <row r="70">
      <c r="A70" s="8" t="s">
        <v>91</v>
      </c>
      <c r="B70" s="8">
        <v>8.0</v>
      </c>
      <c r="C70" s="10"/>
      <c r="D70" s="10"/>
      <c r="E70" s="10"/>
      <c r="F70" s="9">
        <v>8.0</v>
      </c>
      <c r="G70" s="10"/>
      <c r="H70" s="9">
        <v>2.0</v>
      </c>
      <c r="I70" s="10"/>
      <c r="J70" s="18"/>
      <c r="K70" s="18"/>
      <c r="L70" s="20"/>
      <c r="M70" s="8">
        <v>18.9</v>
      </c>
      <c r="N70" s="8">
        <v>10.5</v>
      </c>
      <c r="O70" s="21">
        <f>'10-9-25-EB'!G111</f>
        <v>10.5</v>
      </c>
      <c r="Q70" s="16"/>
      <c r="R70" s="16"/>
      <c r="S70" s="16"/>
      <c r="T70" s="16"/>
      <c r="U70" s="16"/>
      <c r="V70" s="16"/>
      <c r="W70" s="16"/>
    </row>
    <row r="71">
      <c r="A71" s="8" t="s">
        <v>92</v>
      </c>
      <c r="B71" s="8">
        <v>3.0</v>
      </c>
      <c r="C71" s="10"/>
      <c r="D71" s="10"/>
      <c r="E71" s="10"/>
      <c r="F71" s="10"/>
      <c r="G71" s="10"/>
      <c r="H71" s="9">
        <v>0.0</v>
      </c>
      <c r="I71" s="10"/>
      <c r="J71" s="18"/>
      <c r="K71" s="18"/>
      <c r="L71" s="20"/>
      <c r="Q71" s="16"/>
      <c r="R71" s="16"/>
      <c r="S71" s="16"/>
      <c r="T71" s="16"/>
      <c r="U71" s="16"/>
      <c r="V71" s="16"/>
      <c r="W71" s="16"/>
    </row>
    <row r="72">
      <c r="A72" s="8" t="s">
        <v>93</v>
      </c>
      <c r="B72" s="8">
        <v>0.0</v>
      </c>
      <c r="C72" s="10"/>
      <c r="D72" s="10"/>
      <c r="E72" s="10"/>
      <c r="F72" s="10"/>
      <c r="G72" s="10"/>
      <c r="H72" s="9"/>
      <c r="I72" s="10"/>
      <c r="J72" s="18"/>
      <c r="K72" s="18"/>
      <c r="L72" s="20"/>
      <c r="Q72" s="16"/>
      <c r="R72" s="16"/>
      <c r="S72" s="16"/>
      <c r="T72" s="16"/>
      <c r="U72" s="16"/>
      <c r="V72" s="16"/>
      <c r="W72" s="16"/>
    </row>
    <row r="73">
      <c r="A73" s="8" t="s">
        <v>94</v>
      </c>
      <c r="B73" s="8">
        <v>2.0</v>
      </c>
      <c r="C73" s="10"/>
      <c r="D73" s="10"/>
      <c r="E73" s="10"/>
      <c r="F73" s="10"/>
      <c r="G73" s="10"/>
      <c r="H73" s="9">
        <v>5.0</v>
      </c>
      <c r="I73" s="10"/>
      <c r="J73" s="18"/>
      <c r="K73" s="18"/>
      <c r="L73" s="20"/>
      <c r="M73" s="8">
        <v>7.5</v>
      </c>
      <c r="O73" s="14">
        <f>'10-9-25-EB'!G114</f>
        <v>12.5</v>
      </c>
      <c r="Q73" s="16"/>
      <c r="R73" s="16"/>
      <c r="S73" s="16"/>
      <c r="T73" s="16"/>
      <c r="U73" s="16"/>
      <c r="V73" s="16"/>
      <c r="W73" s="16"/>
    </row>
    <row r="74">
      <c r="A74" s="8" t="s">
        <v>95</v>
      </c>
      <c r="B74" s="23">
        <v>10.0</v>
      </c>
      <c r="C74" s="9">
        <v>5.0</v>
      </c>
      <c r="D74" s="9">
        <v>5.0</v>
      </c>
      <c r="E74" s="10"/>
      <c r="F74" s="10"/>
      <c r="G74" s="10"/>
      <c r="H74" s="9">
        <v>2.0</v>
      </c>
      <c r="I74" s="10"/>
      <c r="J74" s="18">
        <f>'8-4-25-MG'!E125</f>
        <v>13.4</v>
      </c>
      <c r="K74" s="18"/>
      <c r="L74" s="20"/>
      <c r="O74" s="8">
        <v>23.0</v>
      </c>
      <c r="Q74" s="16"/>
      <c r="R74" s="16"/>
      <c r="S74" s="16"/>
      <c r="T74" s="16"/>
      <c r="U74" s="16"/>
      <c r="V74" s="16"/>
      <c r="W74" s="16"/>
    </row>
    <row r="75">
      <c r="A75" s="8" t="s">
        <v>96</v>
      </c>
      <c r="B75" s="23">
        <v>10.0</v>
      </c>
      <c r="C75" s="9">
        <v>1.0</v>
      </c>
      <c r="D75" s="9">
        <v>1.0</v>
      </c>
      <c r="E75" s="10"/>
      <c r="F75" s="9">
        <v>0.0</v>
      </c>
      <c r="G75" s="10"/>
      <c r="H75" s="9">
        <v>1.0</v>
      </c>
      <c r="I75" s="19">
        <f>'10-23-25 AB'!G576</f>
        <v>2</v>
      </c>
      <c r="J75" s="18"/>
      <c r="K75" s="18"/>
      <c r="L75" s="20"/>
      <c r="M75" s="8">
        <v>8.0</v>
      </c>
      <c r="O75" s="8">
        <v>14.0</v>
      </c>
      <c r="Q75" s="16"/>
      <c r="R75" s="16"/>
      <c r="S75" s="16"/>
      <c r="T75" s="16"/>
      <c r="U75" s="16"/>
      <c r="V75" s="16"/>
      <c r="W75" s="16"/>
    </row>
    <row r="76">
      <c r="A76" s="8" t="s">
        <v>97</v>
      </c>
      <c r="B76" s="23">
        <v>0.0</v>
      </c>
      <c r="C76" s="10"/>
      <c r="D76" s="10"/>
      <c r="E76" s="10"/>
      <c r="F76" s="10"/>
      <c r="G76" s="10"/>
      <c r="H76" s="10"/>
      <c r="I76" s="10"/>
      <c r="J76" s="18"/>
      <c r="K76" s="18"/>
      <c r="L76" s="20"/>
      <c r="Q76" s="16"/>
      <c r="R76" s="16"/>
      <c r="S76" s="16"/>
      <c r="T76" s="16"/>
      <c r="U76" s="16"/>
      <c r="V76" s="16"/>
      <c r="W76" s="16"/>
    </row>
    <row r="77">
      <c r="A77" s="8" t="s">
        <v>98</v>
      </c>
      <c r="B77" s="23">
        <v>0.0</v>
      </c>
      <c r="C77" s="10"/>
      <c r="D77" s="10"/>
      <c r="E77" s="10"/>
      <c r="F77" s="10"/>
      <c r="G77" s="10"/>
      <c r="H77" s="10"/>
      <c r="I77" s="10"/>
      <c r="J77" s="18"/>
      <c r="K77" s="18"/>
      <c r="L77" s="20"/>
      <c r="Q77" s="16"/>
      <c r="R77" s="16"/>
      <c r="S77" s="16"/>
      <c r="T77" s="16"/>
      <c r="U77" s="16"/>
      <c r="V77" s="16"/>
      <c r="W77" s="16"/>
    </row>
    <row r="78">
      <c r="A78" s="8" t="s">
        <v>99</v>
      </c>
      <c r="B78" s="23">
        <v>0.0</v>
      </c>
      <c r="C78" s="10"/>
      <c r="D78" s="10"/>
      <c r="E78" s="10"/>
      <c r="F78" s="10"/>
      <c r="G78" s="10"/>
      <c r="H78" s="10"/>
      <c r="I78" s="10"/>
      <c r="J78" s="18"/>
      <c r="K78" s="18"/>
      <c r="L78" s="20"/>
      <c r="Q78" s="16"/>
      <c r="R78" s="16"/>
      <c r="S78" s="16"/>
      <c r="T78" s="16"/>
      <c r="U78" s="16"/>
      <c r="V78" s="16"/>
      <c r="W78" s="16"/>
    </row>
    <row r="79">
      <c r="A79" s="8" t="s">
        <v>100</v>
      </c>
      <c r="B79" s="23">
        <v>9.0</v>
      </c>
      <c r="C79" s="9"/>
      <c r="D79" s="9">
        <v>7.0</v>
      </c>
      <c r="E79" s="10"/>
      <c r="F79" s="9">
        <v>4.0</v>
      </c>
      <c r="G79" s="10"/>
      <c r="H79" s="9">
        <v>4.0</v>
      </c>
      <c r="I79" s="19">
        <f>'10-23-25 AB'!G577</f>
        <v>1</v>
      </c>
      <c r="J79" s="13"/>
      <c r="K79" s="13">
        <v>13.3</v>
      </c>
      <c r="L79" s="20"/>
      <c r="M79" s="8">
        <v>13.0</v>
      </c>
      <c r="O79" s="21">
        <f>'10-9-25-EB'!G67</f>
        <v>6</v>
      </c>
      <c r="Q79" s="16"/>
      <c r="R79" s="16"/>
      <c r="S79" s="16"/>
      <c r="T79" s="16"/>
      <c r="U79" s="16"/>
      <c r="V79" s="16"/>
      <c r="W79" s="16"/>
    </row>
    <row r="80">
      <c r="A80" s="8" t="s">
        <v>101</v>
      </c>
      <c r="B80" s="23">
        <v>9.0</v>
      </c>
      <c r="C80" s="9"/>
      <c r="D80" s="9">
        <v>9.0</v>
      </c>
      <c r="E80" s="10"/>
      <c r="F80" s="9">
        <v>5.0</v>
      </c>
      <c r="G80" s="10"/>
      <c r="H80" s="9">
        <v>4.0</v>
      </c>
      <c r="I80" s="19">
        <f>'10-23-25 AB'!G579</f>
        <v>2</v>
      </c>
      <c r="J80" s="13"/>
      <c r="K80" s="13">
        <v>42.0</v>
      </c>
      <c r="L80" s="20"/>
      <c r="M80" s="8">
        <v>8.4</v>
      </c>
      <c r="O80" s="21">
        <f>'10-9-25-EB'!G71</f>
        <v>10</v>
      </c>
      <c r="Q80" s="16"/>
      <c r="R80" s="16"/>
      <c r="S80" s="16"/>
      <c r="T80" s="16"/>
      <c r="U80" s="16"/>
      <c r="V80" s="16"/>
      <c r="W80" s="16"/>
    </row>
    <row r="81">
      <c r="A81" s="8" t="s">
        <v>102</v>
      </c>
      <c r="B81" s="23">
        <v>6.0</v>
      </c>
      <c r="C81" s="9"/>
      <c r="D81" s="9">
        <v>4.0</v>
      </c>
      <c r="E81" s="10"/>
      <c r="F81" s="10"/>
      <c r="G81" s="10"/>
      <c r="H81" s="9">
        <v>3.0</v>
      </c>
      <c r="I81" s="19">
        <f>'10-23-25 AB'!G580</f>
        <v>1</v>
      </c>
      <c r="J81" s="13"/>
      <c r="K81" s="13">
        <v>30.3</v>
      </c>
      <c r="L81" s="20"/>
      <c r="O81" s="8">
        <v>16.0</v>
      </c>
      <c r="Q81" s="16"/>
      <c r="R81" s="16"/>
      <c r="S81" s="16"/>
      <c r="T81" s="16"/>
      <c r="U81" s="16"/>
      <c r="V81" s="16"/>
      <c r="W81" s="16"/>
    </row>
    <row r="82">
      <c r="A82" s="8" t="s">
        <v>103</v>
      </c>
      <c r="B82" s="8">
        <v>1.0</v>
      </c>
      <c r="C82" s="10"/>
      <c r="D82" s="10"/>
      <c r="E82" s="10"/>
      <c r="F82" s="9">
        <v>1.0</v>
      </c>
      <c r="G82" s="10"/>
      <c r="H82" s="9">
        <v>1.0</v>
      </c>
      <c r="I82" s="10"/>
      <c r="J82" s="18"/>
      <c r="K82" s="18"/>
      <c r="L82" s="20"/>
      <c r="M82" s="8">
        <v>20.0</v>
      </c>
      <c r="O82" s="8">
        <v>32.0</v>
      </c>
      <c r="Q82" s="16"/>
      <c r="R82" s="16"/>
      <c r="S82" s="16"/>
      <c r="T82" s="16"/>
      <c r="U82" s="16"/>
      <c r="V82" s="16"/>
      <c r="W82" s="16"/>
    </row>
    <row r="83">
      <c r="A83" s="8" t="s">
        <v>104</v>
      </c>
      <c r="B83" s="8">
        <v>9.0</v>
      </c>
      <c r="C83" s="10"/>
      <c r="D83" s="10"/>
      <c r="E83" s="10"/>
      <c r="F83" s="10"/>
      <c r="G83" s="10"/>
      <c r="H83" s="9">
        <v>0.0</v>
      </c>
      <c r="I83" s="10"/>
      <c r="J83" s="18"/>
      <c r="K83" s="18"/>
      <c r="L83" s="20"/>
      <c r="Q83" s="16"/>
      <c r="R83" s="16"/>
      <c r="S83" s="16"/>
      <c r="T83" s="16"/>
      <c r="U83" s="16"/>
      <c r="V83" s="16"/>
      <c r="W83" s="16"/>
    </row>
    <row r="84">
      <c r="A84" s="8" t="s">
        <v>105</v>
      </c>
      <c r="B84" s="8">
        <v>9.0</v>
      </c>
      <c r="C84" s="10"/>
      <c r="D84" s="10"/>
      <c r="E84" s="10"/>
      <c r="F84" s="10"/>
      <c r="G84" s="10"/>
      <c r="H84" s="9">
        <v>5.0</v>
      </c>
      <c r="I84" s="10"/>
      <c r="J84" s="18"/>
      <c r="K84" s="18"/>
      <c r="L84" s="20"/>
      <c r="O84" s="8">
        <v>7.4</v>
      </c>
      <c r="Q84" s="16"/>
      <c r="R84" s="16"/>
      <c r="S84" s="16"/>
      <c r="T84" s="16"/>
      <c r="U84" s="16"/>
      <c r="V84" s="16"/>
      <c r="W84" s="16"/>
    </row>
    <row r="85">
      <c r="A85" s="8" t="s">
        <v>106</v>
      </c>
      <c r="B85" s="8">
        <v>13.0</v>
      </c>
      <c r="C85" s="10"/>
      <c r="D85" s="10"/>
      <c r="E85" s="10"/>
      <c r="F85" s="10"/>
      <c r="G85" s="10"/>
      <c r="H85" s="9">
        <v>5.0</v>
      </c>
      <c r="I85" s="10"/>
      <c r="J85" s="18"/>
      <c r="K85" s="18"/>
      <c r="L85" s="20"/>
      <c r="O85" s="8">
        <v>10.2</v>
      </c>
      <c r="Q85" s="16"/>
      <c r="R85" s="16"/>
      <c r="S85" s="16"/>
      <c r="T85" s="16"/>
      <c r="U85" s="16"/>
      <c r="V85" s="16"/>
      <c r="W85" s="16"/>
    </row>
    <row r="86">
      <c r="C86" s="10"/>
      <c r="D86" s="10"/>
      <c r="E86" s="10"/>
      <c r="F86" s="10"/>
      <c r="G86" s="10"/>
      <c r="H86" s="10"/>
      <c r="I86" s="10"/>
      <c r="J86" s="18"/>
      <c r="K86" s="18"/>
      <c r="L86" s="20"/>
      <c r="R86" s="16"/>
      <c r="S86" s="16"/>
      <c r="T86" s="16"/>
      <c r="U86" s="16"/>
      <c r="V86" s="16"/>
      <c r="W86" s="16"/>
      <c r="X86" s="16"/>
    </row>
    <row r="87">
      <c r="C87" s="10"/>
      <c r="D87" s="10"/>
      <c r="E87" s="10"/>
      <c r="F87" s="10"/>
      <c r="G87" s="10"/>
      <c r="H87" s="10"/>
      <c r="I87" s="10"/>
      <c r="J87" s="18"/>
      <c r="K87" s="18"/>
      <c r="L87" s="20"/>
      <c r="R87" s="16"/>
      <c r="S87" s="16"/>
      <c r="T87" s="16"/>
      <c r="U87" s="16"/>
      <c r="V87" s="16"/>
      <c r="W87" s="16"/>
      <c r="X87" s="16"/>
    </row>
    <row r="88">
      <c r="L88" s="14"/>
      <c r="R88" s="16"/>
      <c r="S88" s="16"/>
      <c r="T88" s="16"/>
      <c r="U88" s="16"/>
      <c r="V88" s="16"/>
      <c r="W88" s="16"/>
      <c r="X88" s="16"/>
    </row>
    <row r="89">
      <c r="L89" s="14"/>
      <c r="R89" s="16"/>
      <c r="S89" s="16"/>
      <c r="T89" s="16"/>
      <c r="U89" s="16"/>
      <c r="V89" s="16"/>
      <c r="W89" s="16"/>
      <c r="X89" s="16"/>
    </row>
    <row r="90">
      <c r="C90" s="10"/>
      <c r="D90" s="10"/>
      <c r="E90" s="10"/>
      <c r="F90" s="10"/>
      <c r="G90" s="10"/>
      <c r="H90" s="10"/>
      <c r="I90" s="10"/>
      <c r="J90" s="18"/>
      <c r="K90" s="18"/>
      <c r="L90" s="20"/>
      <c r="R90" s="16"/>
      <c r="S90" s="16"/>
      <c r="T90" s="16"/>
      <c r="U90" s="16"/>
      <c r="V90" s="16"/>
      <c r="W90" s="16"/>
      <c r="X90" s="16"/>
    </row>
    <row r="91">
      <c r="C91" s="10"/>
      <c r="D91" s="10"/>
      <c r="E91" s="10"/>
      <c r="F91" s="10"/>
      <c r="G91" s="10"/>
      <c r="H91" s="10"/>
      <c r="I91" s="10"/>
      <c r="J91" s="18"/>
      <c r="K91" s="18"/>
      <c r="L91" s="20"/>
      <c r="R91" s="16"/>
      <c r="S91" s="16"/>
      <c r="T91" s="16"/>
      <c r="U91" s="16"/>
      <c r="V91" s="16"/>
      <c r="W91" s="16"/>
      <c r="X91" s="16"/>
    </row>
    <row r="92">
      <c r="C92" s="10"/>
      <c r="D92" s="10"/>
      <c r="E92" s="10"/>
      <c r="F92" s="10"/>
      <c r="G92" s="10"/>
      <c r="H92" s="10"/>
      <c r="I92" s="10"/>
      <c r="J92" s="18"/>
      <c r="K92" s="18"/>
      <c r="L92" s="20"/>
      <c r="R92" s="16"/>
      <c r="S92" s="16"/>
      <c r="T92" s="16"/>
      <c r="U92" s="16"/>
      <c r="V92" s="16"/>
      <c r="W92" s="16"/>
      <c r="X92" s="16"/>
    </row>
    <row r="93">
      <c r="C93" s="10"/>
      <c r="D93" s="10"/>
      <c r="E93" s="10"/>
      <c r="F93" s="10"/>
      <c r="G93" s="10"/>
      <c r="H93" s="10"/>
      <c r="I93" s="10"/>
      <c r="J93" s="18"/>
      <c r="K93" s="18"/>
      <c r="L93" s="20"/>
      <c r="R93" s="16"/>
      <c r="S93" s="16"/>
      <c r="T93" s="16"/>
      <c r="U93" s="16"/>
      <c r="V93" s="16"/>
      <c r="W93" s="16"/>
      <c r="X93" s="16"/>
    </row>
    <row r="94">
      <c r="C94" s="10"/>
      <c r="D94" s="10"/>
      <c r="E94" s="10"/>
      <c r="F94" s="10"/>
      <c r="G94" s="10"/>
      <c r="H94" s="10"/>
      <c r="I94" s="10"/>
      <c r="J94" s="18"/>
      <c r="K94" s="18"/>
      <c r="L94" s="20"/>
      <c r="R94" s="16"/>
      <c r="S94" s="16"/>
      <c r="T94" s="16"/>
      <c r="U94" s="16"/>
      <c r="V94" s="16"/>
      <c r="W94" s="16"/>
      <c r="X94" s="16"/>
    </row>
    <row r="95">
      <c r="C95" s="10"/>
      <c r="D95" s="10"/>
      <c r="E95" s="10"/>
      <c r="F95" s="10"/>
      <c r="G95" s="10"/>
      <c r="H95" s="10"/>
      <c r="I95" s="10"/>
      <c r="J95" s="18"/>
      <c r="K95" s="18"/>
      <c r="L95" s="20"/>
      <c r="R95" s="16"/>
      <c r="S95" s="16"/>
      <c r="T95" s="16"/>
      <c r="U95" s="16"/>
      <c r="V95" s="16"/>
      <c r="W95" s="16"/>
      <c r="X95" s="16"/>
    </row>
    <row r="96">
      <c r="C96" s="10"/>
      <c r="D96" s="10"/>
      <c r="E96" s="10"/>
      <c r="F96" s="10"/>
      <c r="G96" s="10"/>
      <c r="H96" s="10"/>
      <c r="I96" s="10"/>
      <c r="J96" s="18"/>
      <c r="K96" s="18"/>
      <c r="L96" s="20"/>
      <c r="R96" s="16"/>
      <c r="S96" s="16"/>
      <c r="T96" s="16"/>
      <c r="U96" s="16"/>
      <c r="V96" s="16"/>
      <c r="W96" s="16"/>
      <c r="X96" s="16"/>
    </row>
    <row r="97">
      <c r="C97" s="10"/>
      <c r="D97" s="10"/>
      <c r="E97" s="10"/>
      <c r="F97" s="10"/>
      <c r="G97" s="10"/>
      <c r="H97" s="10"/>
      <c r="I97" s="10"/>
      <c r="J97" s="18"/>
      <c r="K97" s="18"/>
      <c r="L97" s="20"/>
      <c r="R97" s="16"/>
      <c r="S97" s="16"/>
      <c r="T97" s="16"/>
      <c r="U97" s="16"/>
      <c r="V97" s="16"/>
      <c r="W97" s="16"/>
      <c r="X97" s="16"/>
    </row>
    <row r="98">
      <c r="C98" s="10"/>
      <c r="D98" s="10"/>
      <c r="E98" s="10"/>
      <c r="F98" s="10"/>
      <c r="G98" s="10"/>
      <c r="H98" s="10"/>
      <c r="I98" s="10"/>
      <c r="J98" s="18"/>
      <c r="K98" s="18"/>
      <c r="L98" s="20"/>
      <c r="R98" s="16"/>
      <c r="S98" s="16"/>
      <c r="T98" s="16"/>
      <c r="U98" s="16"/>
      <c r="V98" s="16"/>
      <c r="W98" s="16"/>
      <c r="X98" s="16"/>
    </row>
    <row r="99">
      <c r="C99" s="10"/>
      <c r="D99" s="10"/>
      <c r="E99" s="10"/>
      <c r="F99" s="10"/>
      <c r="G99" s="10"/>
      <c r="H99" s="10"/>
      <c r="I99" s="10"/>
      <c r="J99" s="18"/>
      <c r="K99" s="18"/>
      <c r="L99" s="20"/>
      <c r="R99" s="16"/>
      <c r="S99" s="16"/>
      <c r="T99" s="16"/>
      <c r="U99" s="16"/>
      <c r="V99" s="16"/>
      <c r="W99" s="16"/>
      <c r="X99" s="16"/>
    </row>
    <row r="100">
      <c r="C100" s="10"/>
      <c r="D100" s="10"/>
      <c r="E100" s="10"/>
      <c r="F100" s="10"/>
      <c r="G100" s="10"/>
      <c r="H100" s="10"/>
      <c r="I100" s="10"/>
      <c r="J100" s="18"/>
      <c r="K100" s="18"/>
      <c r="L100" s="20"/>
      <c r="R100" s="16"/>
      <c r="S100" s="16"/>
      <c r="T100" s="16"/>
      <c r="U100" s="16"/>
      <c r="V100" s="16"/>
      <c r="W100" s="16"/>
      <c r="X100" s="16"/>
    </row>
    <row r="101">
      <c r="C101" s="10"/>
      <c r="D101" s="10"/>
      <c r="E101" s="10"/>
      <c r="F101" s="10"/>
      <c r="G101" s="10"/>
      <c r="H101" s="10"/>
      <c r="I101" s="10"/>
      <c r="J101" s="18"/>
      <c r="K101" s="18"/>
      <c r="L101" s="20"/>
      <c r="R101" s="16"/>
      <c r="S101" s="16"/>
      <c r="T101" s="16"/>
      <c r="U101" s="16"/>
      <c r="V101" s="16"/>
      <c r="W101" s="16"/>
      <c r="X101" s="16"/>
    </row>
    <row r="102">
      <c r="C102" s="10"/>
      <c r="D102" s="10"/>
      <c r="E102" s="10"/>
      <c r="F102" s="10"/>
      <c r="G102" s="10"/>
      <c r="H102" s="10"/>
      <c r="I102" s="10"/>
      <c r="J102" s="18"/>
      <c r="K102" s="18"/>
      <c r="L102" s="20"/>
      <c r="R102" s="16"/>
      <c r="S102" s="16"/>
      <c r="T102" s="16"/>
      <c r="U102" s="16"/>
      <c r="V102" s="16"/>
      <c r="W102" s="16"/>
      <c r="X102" s="16"/>
    </row>
    <row r="103">
      <c r="C103" s="10"/>
      <c r="D103" s="10"/>
      <c r="E103" s="10"/>
      <c r="F103" s="10"/>
      <c r="G103" s="10"/>
      <c r="H103" s="10"/>
      <c r="I103" s="10"/>
      <c r="J103" s="18"/>
      <c r="K103" s="18"/>
      <c r="L103" s="20"/>
      <c r="R103" s="16"/>
      <c r="S103" s="16"/>
      <c r="T103" s="16"/>
      <c r="U103" s="16"/>
      <c r="V103" s="16"/>
      <c r="W103" s="16"/>
      <c r="X103" s="16"/>
    </row>
    <row r="104">
      <c r="C104" s="10"/>
      <c r="D104" s="10"/>
      <c r="E104" s="10"/>
      <c r="F104" s="10"/>
      <c r="G104" s="10"/>
      <c r="H104" s="10"/>
      <c r="I104" s="10"/>
      <c r="J104" s="18"/>
      <c r="K104" s="18"/>
      <c r="L104" s="20"/>
      <c r="R104" s="16"/>
      <c r="S104" s="16"/>
      <c r="T104" s="16"/>
      <c r="U104" s="16"/>
      <c r="V104" s="16"/>
      <c r="W104" s="16"/>
      <c r="X104" s="16"/>
    </row>
    <row r="105">
      <c r="L105" s="14"/>
    </row>
    <row r="106">
      <c r="L106" s="14"/>
    </row>
    <row r="107">
      <c r="L107" s="14"/>
    </row>
    <row r="108">
      <c r="L108" s="14"/>
    </row>
    <row r="109">
      <c r="L109" s="14"/>
    </row>
    <row r="110">
      <c r="L110" s="14"/>
    </row>
    <row r="111">
      <c r="L111" s="14"/>
    </row>
    <row r="112">
      <c r="L112" s="14"/>
    </row>
    <row r="113">
      <c r="L113" s="14"/>
    </row>
    <row r="114">
      <c r="L114" s="14"/>
    </row>
    <row r="115">
      <c r="L115" s="14"/>
    </row>
    <row r="116">
      <c r="L116" s="14"/>
    </row>
    <row r="117">
      <c r="L117" s="14"/>
    </row>
    <row r="118">
      <c r="L118" s="14"/>
    </row>
    <row r="119">
      <c r="L119" s="14"/>
    </row>
    <row r="120">
      <c r="L120" s="14"/>
    </row>
    <row r="121">
      <c r="L121" s="14"/>
    </row>
    <row r="122">
      <c r="L122" s="14"/>
    </row>
    <row r="123">
      <c r="L123" s="14"/>
    </row>
    <row r="124">
      <c r="L124" s="14"/>
    </row>
    <row r="125">
      <c r="L125" s="14"/>
    </row>
    <row r="126">
      <c r="L126" s="14"/>
    </row>
    <row r="127">
      <c r="L127" s="14"/>
    </row>
    <row r="128">
      <c r="L128" s="14"/>
    </row>
    <row r="129">
      <c r="L129" s="14"/>
    </row>
    <row r="130">
      <c r="L130" s="14"/>
    </row>
    <row r="131">
      <c r="L131" s="14"/>
    </row>
    <row r="132">
      <c r="L132" s="14"/>
    </row>
    <row r="133">
      <c r="L133" s="14"/>
    </row>
    <row r="134">
      <c r="L134" s="14"/>
    </row>
    <row r="135">
      <c r="L135" s="14"/>
    </row>
    <row r="136">
      <c r="L136" s="14"/>
    </row>
    <row r="137">
      <c r="L137" s="14"/>
    </row>
    <row r="138">
      <c r="L138" s="14"/>
    </row>
    <row r="139">
      <c r="L139" s="14"/>
    </row>
    <row r="140">
      <c r="L140" s="14"/>
    </row>
    <row r="141">
      <c r="L141" s="14"/>
    </row>
    <row r="142">
      <c r="L142" s="14"/>
    </row>
    <row r="143">
      <c r="L143" s="14"/>
    </row>
    <row r="144">
      <c r="L144" s="14"/>
    </row>
    <row r="145">
      <c r="L145" s="14"/>
    </row>
    <row r="146">
      <c r="L146" s="14"/>
    </row>
    <row r="147">
      <c r="L147" s="14"/>
    </row>
    <row r="148">
      <c r="L148" s="14"/>
    </row>
    <row r="149">
      <c r="L149" s="14"/>
    </row>
    <row r="150">
      <c r="L150" s="14"/>
    </row>
    <row r="151">
      <c r="L151" s="14"/>
    </row>
    <row r="152">
      <c r="L152" s="14"/>
    </row>
    <row r="153">
      <c r="L153" s="14"/>
    </row>
    <row r="154">
      <c r="L154" s="14"/>
    </row>
    <row r="155">
      <c r="L155" s="14"/>
    </row>
    <row r="156">
      <c r="L156" s="14"/>
    </row>
    <row r="157">
      <c r="L157" s="14"/>
    </row>
    <row r="158">
      <c r="L158" s="14"/>
    </row>
    <row r="159">
      <c r="L159" s="14"/>
    </row>
    <row r="160">
      <c r="L160" s="14"/>
    </row>
    <row r="161">
      <c r="L161" s="14"/>
    </row>
    <row r="162">
      <c r="L162" s="14"/>
    </row>
    <row r="163">
      <c r="L163" s="14"/>
    </row>
    <row r="164">
      <c r="L164" s="14"/>
    </row>
    <row r="165">
      <c r="L165" s="14"/>
    </row>
    <row r="166">
      <c r="L166" s="14"/>
    </row>
    <row r="167">
      <c r="L167" s="14"/>
    </row>
    <row r="168">
      <c r="L168" s="14"/>
    </row>
    <row r="169">
      <c r="L169" s="14"/>
    </row>
    <row r="170">
      <c r="L170" s="14"/>
    </row>
    <row r="171">
      <c r="L171" s="14"/>
    </row>
    <row r="172">
      <c r="L172" s="14"/>
    </row>
    <row r="173">
      <c r="L173" s="14"/>
    </row>
    <row r="174">
      <c r="L174" s="14"/>
    </row>
    <row r="175">
      <c r="L175" s="14"/>
    </row>
    <row r="176">
      <c r="L176" s="14"/>
    </row>
    <row r="177">
      <c r="L177" s="14"/>
    </row>
    <row r="178">
      <c r="L178" s="14"/>
    </row>
    <row r="179">
      <c r="L179" s="14"/>
    </row>
    <row r="180">
      <c r="L180" s="14"/>
    </row>
    <row r="181">
      <c r="L181" s="14"/>
    </row>
    <row r="182">
      <c r="L182" s="14"/>
    </row>
    <row r="183">
      <c r="L183" s="14"/>
    </row>
    <row r="184">
      <c r="L184" s="14"/>
    </row>
    <row r="185">
      <c r="L185" s="14"/>
    </row>
    <row r="186">
      <c r="L186" s="14"/>
    </row>
    <row r="187">
      <c r="L187" s="14"/>
    </row>
    <row r="188">
      <c r="L188" s="14"/>
    </row>
    <row r="189">
      <c r="L189" s="14"/>
    </row>
    <row r="190">
      <c r="L190" s="14"/>
    </row>
    <row r="191">
      <c r="L191" s="14"/>
    </row>
    <row r="192">
      <c r="L192" s="14"/>
    </row>
    <row r="193">
      <c r="L193" s="14"/>
    </row>
    <row r="194">
      <c r="L194" s="14"/>
    </row>
    <row r="195">
      <c r="L195" s="14"/>
    </row>
    <row r="196">
      <c r="L196" s="14"/>
    </row>
    <row r="197">
      <c r="L197" s="14"/>
    </row>
    <row r="198">
      <c r="L198" s="14"/>
    </row>
    <row r="199">
      <c r="L199" s="14"/>
    </row>
    <row r="200">
      <c r="L200" s="14"/>
    </row>
    <row r="201">
      <c r="L201" s="14"/>
    </row>
    <row r="202">
      <c r="L202" s="14"/>
    </row>
    <row r="203">
      <c r="L203" s="14"/>
    </row>
    <row r="204">
      <c r="L204" s="14"/>
    </row>
    <row r="205">
      <c r="L205" s="14"/>
    </row>
    <row r="206">
      <c r="L206" s="14"/>
    </row>
    <row r="207">
      <c r="L207" s="14"/>
    </row>
    <row r="208">
      <c r="L208" s="14"/>
    </row>
    <row r="209">
      <c r="L209" s="14"/>
    </row>
    <row r="210">
      <c r="L210" s="14"/>
    </row>
    <row r="211">
      <c r="L211" s="14"/>
    </row>
    <row r="212">
      <c r="L212" s="14"/>
    </row>
    <row r="213">
      <c r="L213" s="14"/>
    </row>
    <row r="214">
      <c r="L214" s="14"/>
    </row>
    <row r="215">
      <c r="L215" s="14"/>
    </row>
    <row r="216">
      <c r="L216" s="14"/>
    </row>
    <row r="217">
      <c r="L217" s="14"/>
    </row>
    <row r="218">
      <c r="L218" s="14"/>
    </row>
    <row r="219">
      <c r="L219" s="14"/>
    </row>
    <row r="220">
      <c r="L220" s="14"/>
    </row>
    <row r="221">
      <c r="L221" s="14"/>
    </row>
    <row r="222">
      <c r="L222" s="14"/>
    </row>
    <row r="223">
      <c r="L223" s="14"/>
    </row>
    <row r="224">
      <c r="L224" s="14"/>
    </row>
    <row r="225">
      <c r="L225" s="14"/>
    </row>
    <row r="226">
      <c r="L226" s="14"/>
    </row>
    <row r="227">
      <c r="L227" s="14"/>
    </row>
    <row r="228">
      <c r="L228" s="14"/>
    </row>
    <row r="229">
      <c r="L229" s="14"/>
    </row>
    <row r="230">
      <c r="L230" s="14"/>
    </row>
    <row r="231">
      <c r="L231" s="14"/>
    </row>
    <row r="232">
      <c r="L232" s="14"/>
    </row>
    <row r="233">
      <c r="L233" s="14"/>
    </row>
    <row r="234">
      <c r="L234" s="14"/>
    </row>
    <row r="235">
      <c r="L235" s="14"/>
    </row>
    <row r="236">
      <c r="L236" s="14"/>
    </row>
    <row r="237">
      <c r="L237" s="14"/>
    </row>
    <row r="238">
      <c r="L238" s="14"/>
    </row>
    <row r="239">
      <c r="L239" s="14"/>
    </row>
    <row r="240">
      <c r="L240" s="14"/>
    </row>
    <row r="241">
      <c r="L241" s="14"/>
    </row>
    <row r="242">
      <c r="L242" s="14"/>
    </row>
    <row r="243">
      <c r="L243" s="14"/>
    </row>
    <row r="244">
      <c r="L244" s="14"/>
    </row>
    <row r="245">
      <c r="L245" s="14"/>
    </row>
    <row r="246">
      <c r="L246" s="14"/>
    </row>
    <row r="247">
      <c r="L247" s="14"/>
    </row>
    <row r="248">
      <c r="L248" s="14"/>
    </row>
    <row r="249">
      <c r="L249" s="14"/>
    </row>
    <row r="250">
      <c r="L250" s="14"/>
    </row>
    <row r="251">
      <c r="L251" s="14"/>
    </row>
    <row r="252">
      <c r="L252" s="14"/>
    </row>
    <row r="253">
      <c r="L253" s="14"/>
    </row>
    <row r="254">
      <c r="L254" s="14"/>
    </row>
    <row r="255">
      <c r="L255" s="14"/>
    </row>
    <row r="256">
      <c r="L256" s="14"/>
    </row>
    <row r="257">
      <c r="L257" s="14"/>
    </row>
    <row r="258">
      <c r="L258" s="14"/>
    </row>
    <row r="259">
      <c r="L259" s="14"/>
    </row>
    <row r="260">
      <c r="L260" s="14"/>
    </row>
    <row r="261">
      <c r="L261" s="14"/>
    </row>
    <row r="262">
      <c r="L262" s="14"/>
    </row>
    <row r="263">
      <c r="L263" s="14"/>
    </row>
    <row r="264">
      <c r="L264" s="14"/>
    </row>
    <row r="265">
      <c r="L265" s="14"/>
    </row>
    <row r="266">
      <c r="L266" s="14"/>
    </row>
    <row r="267">
      <c r="L267" s="14"/>
    </row>
    <row r="268">
      <c r="L268" s="14"/>
    </row>
    <row r="269">
      <c r="L269" s="14"/>
    </row>
    <row r="270">
      <c r="L270" s="14"/>
    </row>
    <row r="271">
      <c r="L271" s="14"/>
    </row>
    <row r="272">
      <c r="L272" s="14"/>
    </row>
    <row r="273">
      <c r="L273" s="14"/>
    </row>
    <row r="274">
      <c r="L274" s="14"/>
    </row>
    <row r="275">
      <c r="L275" s="14"/>
    </row>
    <row r="276">
      <c r="L276" s="14"/>
    </row>
    <row r="277">
      <c r="L277" s="14"/>
    </row>
    <row r="278">
      <c r="L278" s="14"/>
    </row>
    <row r="279">
      <c r="L279" s="14"/>
    </row>
    <row r="280">
      <c r="L280" s="14"/>
    </row>
    <row r="281">
      <c r="L281" s="14"/>
    </row>
    <row r="282">
      <c r="L282" s="14"/>
    </row>
    <row r="283">
      <c r="L283" s="14"/>
    </row>
    <row r="284">
      <c r="L284" s="14"/>
    </row>
    <row r="285">
      <c r="L285" s="14"/>
    </row>
    <row r="286">
      <c r="L286" s="14"/>
    </row>
    <row r="287">
      <c r="L287" s="14"/>
    </row>
    <row r="288">
      <c r="L288" s="14"/>
    </row>
    <row r="289">
      <c r="L289" s="14"/>
    </row>
    <row r="290">
      <c r="L290" s="14"/>
    </row>
    <row r="291">
      <c r="L291" s="14"/>
    </row>
    <row r="292">
      <c r="L292" s="14"/>
    </row>
    <row r="293">
      <c r="L293" s="14"/>
    </row>
    <row r="294">
      <c r="L294" s="14"/>
    </row>
    <row r="295">
      <c r="L295" s="14"/>
    </row>
    <row r="296">
      <c r="L296" s="14"/>
    </row>
    <row r="297">
      <c r="L297" s="14"/>
    </row>
    <row r="298">
      <c r="L298" s="14"/>
    </row>
    <row r="299">
      <c r="L299" s="14"/>
    </row>
    <row r="300">
      <c r="L300" s="14"/>
    </row>
    <row r="301">
      <c r="L301" s="14"/>
    </row>
    <row r="302">
      <c r="L302" s="14"/>
    </row>
    <row r="303">
      <c r="L303" s="14"/>
    </row>
    <row r="304">
      <c r="L304" s="14"/>
    </row>
    <row r="305">
      <c r="L305" s="14"/>
    </row>
    <row r="306">
      <c r="L306" s="14"/>
    </row>
    <row r="307">
      <c r="L307" s="14"/>
    </row>
    <row r="308">
      <c r="L308" s="14"/>
    </row>
    <row r="309">
      <c r="L309" s="14"/>
    </row>
    <row r="310">
      <c r="L310" s="14"/>
    </row>
    <row r="311">
      <c r="L311" s="14"/>
    </row>
    <row r="312">
      <c r="L312" s="14"/>
    </row>
    <row r="313">
      <c r="L313" s="14"/>
    </row>
    <row r="314">
      <c r="L314" s="14"/>
    </row>
    <row r="315">
      <c r="L315" s="14"/>
    </row>
    <row r="316">
      <c r="L316" s="14"/>
    </row>
    <row r="317">
      <c r="L317" s="14"/>
    </row>
    <row r="318">
      <c r="L318" s="14"/>
    </row>
    <row r="319">
      <c r="L319" s="14"/>
    </row>
    <row r="320">
      <c r="L320" s="14"/>
    </row>
    <row r="321">
      <c r="L321" s="14"/>
    </row>
    <row r="322">
      <c r="L322" s="14"/>
    </row>
    <row r="323">
      <c r="L323" s="14"/>
    </row>
    <row r="324">
      <c r="L324" s="14"/>
    </row>
    <row r="325">
      <c r="L325" s="14"/>
    </row>
    <row r="326">
      <c r="L326" s="14"/>
    </row>
    <row r="327">
      <c r="L327" s="14"/>
    </row>
    <row r="328">
      <c r="L328" s="14"/>
    </row>
    <row r="329">
      <c r="L329" s="14"/>
    </row>
    <row r="330">
      <c r="L330" s="14"/>
    </row>
    <row r="331">
      <c r="L331" s="14"/>
    </row>
    <row r="332">
      <c r="L332" s="14"/>
    </row>
    <row r="333">
      <c r="L333" s="14"/>
    </row>
    <row r="334">
      <c r="L334" s="14"/>
    </row>
    <row r="335">
      <c r="L335" s="14"/>
    </row>
    <row r="336">
      <c r="L336" s="14"/>
    </row>
    <row r="337">
      <c r="L337" s="14"/>
    </row>
    <row r="338">
      <c r="L338" s="14"/>
    </row>
    <row r="339">
      <c r="L339" s="14"/>
    </row>
    <row r="340">
      <c r="L340" s="14"/>
    </row>
    <row r="341">
      <c r="L341" s="14"/>
    </row>
    <row r="342">
      <c r="L342" s="14"/>
    </row>
    <row r="343">
      <c r="L343" s="14"/>
    </row>
    <row r="344">
      <c r="L344" s="14"/>
    </row>
    <row r="345">
      <c r="L345" s="14"/>
    </row>
    <row r="346">
      <c r="L346" s="14"/>
    </row>
    <row r="347">
      <c r="L347" s="14"/>
    </row>
    <row r="348">
      <c r="L348" s="14"/>
    </row>
    <row r="349">
      <c r="L349" s="14"/>
    </row>
    <row r="350">
      <c r="L350" s="14"/>
    </row>
    <row r="351">
      <c r="L351" s="14"/>
    </row>
    <row r="352">
      <c r="L352" s="14"/>
    </row>
    <row r="353">
      <c r="L353" s="14"/>
    </row>
    <row r="354">
      <c r="L354" s="14"/>
    </row>
    <row r="355">
      <c r="L355" s="14"/>
    </row>
    <row r="356">
      <c r="L356" s="14"/>
    </row>
    <row r="357">
      <c r="L357" s="14"/>
    </row>
    <row r="358">
      <c r="L358" s="14"/>
    </row>
    <row r="359">
      <c r="L359" s="14"/>
    </row>
    <row r="360">
      <c r="L360" s="14"/>
    </row>
    <row r="361">
      <c r="L361" s="14"/>
    </row>
    <row r="362">
      <c r="L362" s="14"/>
    </row>
    <row r="363">
      <c r="L363" s="14"/>
    </row>
    <row r="364">
      <c r="L364" s="14"/>
    </row>
    <row r="365">
      <c r="L365" s="14"/>
    </row>
    <row r="366">
      <c r="L366" s="14"/>
    </row>
    <row r="367">
      <c r="L367" s="14"/>
    </row>
    <row r="368">
      <c r="L368" s="14"/>
    </row>
    <row r="369">
      <c r="L369" s="14"/>
    </row>
    <row r="370">
      <c r="L370" s="14"/>
    </row>
    <row r="371">
      <c r="L371" s="14"/>
    </row>
    <row r="372">
      <c r="L372" s="14"/>
    </row>
    <row r="373">
      <c r="L373" s="14"/>
    </row>
    <row r="374">
      <c r="L374" s="14"/>
    </row>
    <row r="375">
      <c r="L375" s="14"/>
    </row>
    <row r="376">
      <c r="L376" s="14"/>
    </row>
    <row r="377">
      <c r="L377" s="14"/>
    </row>
    <row r="378">
      <c r="L378" s="14"/>
    </row>
    <row r="379">
      <c r="L379" s="14"/>
    </row>
    <row r="380">
      <c r="L380" s="14"/>
    </row>
    <row r="381">
      <c r="L381" s="14"/>
    </row>
    <row r="382">
      <c r="L382" s="14"/>
    </row>
    <row r="383">
      <c r="L383" s="14"/>
    </row>
    <row r="384">
      <c r="L384" s="14"/>
    </row>
    <row r="385">
      <c r="L385" s="14"/>
    </row>
    <row r="386">
      <c r="L386" s="14"/>
    </row>
    <row r="387">
      <c r="L387" s="14"/>
    </row>
    <row r="388">
      <c r="L388" s="14"/>
    </row>
    <row r="389">
      <c r="L389" s="14"/>
    </row>
    <row r="390">
      <c r="L390" s="14"/>
    </row>
    <row r="391">
      <c r="L391" s="14"/>
    </row>
    <row r="392">
      <c r="L392" s="14"/>
    </row>
    <row r="393">
      <c r="L393" s="14"/>
    </row>
    <row r="394">
      <c r="L394" s="14"/>
    </row>
    <row r="395">
      <c r="L395" s="14"/>
    </row>
    <row r="396">
      <c r="L396" s="14"/>
    </row>
    <row r="397">
      <c r="L397" s="14"/>
    </row>
    <row r="398">
      <c r="L398" s="14"/>
    </row>
    <row r="399">
      <c r="L399" s="14"/>
    </row>
    <row r="400">
      <c r="L400" s="14"/>
    </row>
    <row r="401">
      <c r="L401" s="14"/>
    </row>
    <row r="402">
      <c r="L402" s="14"/>
    </row>
    <row r="403">
      <c r="L403" s="14"/>
    </row>
    <row r="404">
      <c r="L404" s="14"/>
    </row>
    <row r="405">
      <c r="L405" s="14"/>
    </row>
    <row r="406">
      <c r="L406" s="14"/>
    </row>
    <row r="407">
      <c r="L407" s="14"/>
    </row>
    <row r="408">
      <c r="L408" s="14"/>
    </row>
    <row r="409">
      <c r="L409" s="14"/>
    </row>
    <row r="410">
      <c r="L410" s="14"/>
    </row>
    <row r="411">
      <c r="L411" s="14"/>
    </row>
    <row r="412">
      <c r="L412" s="14"/>
    </row>
    <row r="413">
      <c r="L413" s="14"/>
    </row>
    <row r="414">
      <c r="L414" s="14"/>
    </row>
    <row r="415">
      <c r="L415" s="14"/>
    </row>
    <row r="416">
      <c r="L416" s="14"/>
    </row>
    <row r="417">
      <c r="L417" s="14"/>
    </row>
    <row r="418">
      <c r="L418" s="14"/>
    </row>
    <row r="419">
      <c r="L419" s="14"/>
    </row>
    <row r="420">
      <c r="L420" s="14"/>
    </row>
    <row r="421">
      <c r="L421" s="14"/>
    </row>
    <row r="422">
      <c r="L422" s="14"/>
    </row>
    <row r="423">
      <c r="L423" s="14"/>
    </row>
    <row r="424">
      <c r="L424" s="14"/>
    </row>
    <row r="425">
      <c r="L425" s="14"/>
    </row>
    <row r="426">
      <c r="L426" s="14"/>
    </row>
    <row r="427">
      <c r="L427" s="14"/>
    </row>
    <row r="428">
      <c r="L428" s="14"/>
    </row>
    <row r="429">
      <c r="L429" s="14"/>
    </row>
    <row r="430">
      <c r="L430" s="14"/>
    </row>
    <row r="431">
      <c r="L431" s="14"/>
    </row>
    <row r="432">
      <c r="L432" s="14"/>
    </row>
    <row r="433">
      <c r="L433" s="14"/>
    </row>
    <row r="434">
      <c r="L434" s="14"/>
    </row>
    <row r="435">
      <c r="L435" s="14"/>
    </row>
    <row r="436">
      <c r="L436" s="14"/>
    </row>
    <row r="437">
      <c r="L437" s="14"/>
    </row>
    <row r="438">
      <c r="L438" s="14"/>
    </row>
    <row r="439">
      <c r="L439" s="14"/>
    </row>
    <row r="440">
      <c r="L440" s="14"/>
    </row>
    <row r="441">
      <c r="L441" s="14"/>
    </row>
    <row r="442">
      <c r="L442" s="14"/>
    </row>
    <row r="443">
      <c r="L443" s="14"/>
    </row>
    <row r="444">
      <c r="L444" s="14"/>
    </row>
    <row r="445">
      <c r="L445" s="14"/>
    </row>
    <row r="446">
      <c r="L446" s="14"/>
    </row>
    <row r="447">
      <c r="L447" s="14"/>
    </row>
    <row r="448">
      <c r="L448" s="14"/>
    </row>
    <row r="449">
      <c r="L449" s="14"/>
    </row>
    <row r="450">
      <c r="L450" s="14"/>
    </row>
    <row r="451">
      <c r="L451" s="14"/>
    </row>
    <row r="452">
      <c r="L452" s="14"/>
    </row>
    <row r="453">
      <c r="L453" s="14"/>
    </row>
    <row r="454">
      <c r="L454" s="14"/>
    </row>
    <row r="455">
      <c r="L455" s="14"/>
    </row>
    <row r="456">
      <c r="L456" s="14"/>
    </row>
    <row r="457">
      <c r="L457" s="14"/>
    </row>
    <row r="458">
      <c r="L458" s="14"/>
    </row>
    <row r="459">
      <c r="L459" s="14"/>
    </row>
    <row r="460">
      <c r="L460" s="14"/>
    </row>
    <row r="461">
      <c r="L461" s="14"/>
    </row>
    <row r="462">
      <c r="L462" s="14"/>
    </row>
    <row r="463">
      <c r="L463" s="14"/>
    </row>
    <row r="464">
      <c r="L464" s="14"/>
    </row>
    <row r="465">
      <c r="L465" s="14"/>
    </row>
    <row r="466">
      <c r="L466" s="14"/>
    </row>
    <row r="467">
      <c r="L467" s="14"/>
    </row>
    <row r="468">
      <c r="L468" s="14"/>
    </row>
    <row r="469">
      <c r="L469" s="14"/>
    </row>
    <row r="470">
      <c r="L470" s="14"/>
    </row>
    <row r="471">
      <c r="L471" s="14"/>
    </row>
    <row r="472">
      <c r="L472" s="14"/>
    </row>
    <row r="473">
      <c r="L473" s="14"/>
    </row>
    <row r="474">
      <c r="L474" s="14"/>
    </row>
    <row r="475">
      <c r="L475" s="14"/>
    </row>
    <row r="476">
      <c r="L476" s="14"/>
    </row>
    <row r="477">
      <c r="L477" s="14"/>
    </row>
    <row r="478">
      <c r="L478" s="14"/>
    </row>
    <row r="479">
      <c r="L479" s="14"/>
    </row>
    <row r="480">
      <c r="L480" s="14"/>
    </row>
    <row r="481">
      <c r="L481" s="14"/>
    </row>
    <row r="482">
      <c r="L482" s="14"/>
    </row>
    <row r="483">
      <c r="L483" s="14"/>
    </row>
    <row r="484">
      <c r="L484" s="14"/>
    </row>
    <row r="485">
      <c r="L485" s="14"/>
    </row>
    <row r="486">
      <c r="L486" s="14"/>
    </row>
    <row r="487">
      <c r="L487" s="14"/>
    </row>
    <row r="488">
      <c r="L488" s="14"/>
    </row>
    <row r="489">
      <c r="L489" s="14"/>
    </row>
    <row r="490">
      <c r="L490" s="14"/>
    </row>
    <row r="491">
      <c r="L491" s="14"/>
    </row>
    <row r="492">
      <c r="L492" s="14"/>
    </row>
    <row r="493">
      <c r="L493" s="14"/>
    </row>
    <row r="494">
      <c r="L494" s="14"/>
    </row>
    <row r="495">
      <c r="L495" s="14"/>
    </row>
    <row r="496">
      <c r="L496" s="14"/>
    </row>
    <row r="497">
      <c r="L497" s="14"/>
    </row>
    <row r="498">
      <c r="L498" s="14"/>
    </row>
    <row r="499">
      <c r="L499" s="14"/>
    </row>
    <row r="500">
      <c r="L500" s="14"/>
    </row>
    <row r="501">
      <c r="L501" s="14"/>
    </row>
    <row r="502">
      <c r="L502" s="14"/>
    </row>
    <row r="503">
      <c r="L503" s="14"/>
    </row>
    <row r="504">
      <c r="L504" s="14"/>
    </row>
    <row r="505">
      <c r="L505" s="14"/>
    </row>
    <row r="506">
      <c r="L506" s="14"/>
    </row>
    <row r="507">
      <c r="L507" s="14"/>
    </row>
    <row r="508">
      <c r="L508" s="14"/>
    </row>
    <row r="509">
      <c r="L509" s="14"/>
    </row>
    <row r="510">
      <c r="L510" s="14"/>
    </row>
    <row r="511">
      <c r="L511" s="14"/>
    </row>
    <row r="512">
      <c r="L512" s="14"/>
    </row>
    <row r="513">
      <c r="L513" s="14"/>
    </row>
    <row r="514">
      <c r="L514" s="14"/>
    </row>
    <row r="515">
      <c r="L515" s="14"/>
    </row>
    <row r="516">
      <c r="L516" s="14"/>
    </row>
    <row r="517">
      <c r="L517" s="14"/>
    </row>
    <row r="518">
      <c r="L518" s="14"/>
    </row>
    <row r="519">
      <c r="L519" s="14"/>
    </row>
    <row r="520">
      <c r="L520" s="14"/>
    </row>
    <row r="521">
      <c r="L521" s="14"/>
    </row>
    <row r="522">
      <c r="L522" s="14"/>
    </row>
    <row r="523">
      <c r="L523" s="14"/>
    </row>
    <row r="524">
      <c r="L524" s="14"/>
    </row>
    <row r="525">
      <c r="L525" s="14"/>
    </row>
    <row r="526">
      <c r="L526" s="14"/>
    </row>
    <row r="527">
      <c r="L527" s="14"/>
    </row>
    <row r="528">
      <c r="L528" s="14"/>
    </row>
    <row r="529">
      <c r="L529" s="14"/>
    </row>
    <row r="530">
      <c r="L530" s="14"/>
    </row>
    <row r="531">
      <c r="L531" s="14"/>
    </row>
    <row r="532">
      <c r="L532" s="14"/>
    </row>
    <row r="533">
      <c r="L533" s="14"/>
    </row>
    <row r="534">
      <c r="L534" s="14"/>
    </row>
    <row r="535">
      <c r="L535" s="14"/>
    </row>
    <row r="536">
      <c r="L536" s="14"/>
    </row>
    <row r="537">
      <c r="L537" s="14"/>
    </row>
    <row r="538">
      <c r="L538" s="14"/>
    </row>
    <row r="539">
      <c r="L539" s="14"/>
    </row>
    <row r="540">
      <c r="L540" s="14"/>
    </row>
    <row r="541">
      <c r="L541" s="14"/>
    </row>
    <row r="542">
      <c r="L542" s="14"/>
    </row>
    <row r="543">
      <c r="L543" s="14"/>
    </row>
    <row r="544">
      <c r="L544" s="14"/>
    </row>
    <row r="545">
      <c r="L545" s="14"/>
    </row>
    <row r="546">
      <c r="L546" s="14"/>
    </row>
    <row r="547">
      <c r="L547" s="14"/>
    </row>
    <row r="548">
      <c r="L548" s="14"/>
    </row>
    <row r="549">
      <c r="L549" s="14"/>
    </row>
    <row r="550">
      <c r="L550" s="14"/>
    </row>
    <row r="551">
      <c r="L551" s="14"/>
    </row>
    <row r="552">
      <c r="L552" s="14"/>
    </row>
    <row r="553">
      <c r="L553" s="14"/>
    </row>
    <row r="554">
      <c r="L554" s="14"/>
    </row>
    <row r="555">
      <c r="L555" s="14"/>
    </row>
    <row r="556">
      <c r="L556" s="14"/>
    </row>
    <row r="557">
      <c r="L557" s="14"/>
    </row>
    <row r="558">
      <c r="L558" s="14"/>
    </row>
    <row r="559">
      <c r="L559" s="14"/>
    </row>
    <row r="560">
      <c r="L560" s="14"/>
    </row>
    <row r="561">
      <c r="L561" s="14"/>
    </row>
    <row r="562">
      <c r="L562" s="14"/>
    </row>
    <row r="563">
      <c r="L563" s="14"/>
    </row>
    <row r="564">
      <c r="L564" s="14"/>
    </row>
    <row r="565">
      <c r="L565" s="14"/>
    </row>
    <row r="566">
      <c r="L566" s="14"/>
    </row>
    <row r="567">
      <c r="L567" s="14"/>
    </row>
    <row r="568">
      <c r="L568" s="14"/>
    </row>
    <row r="569">
      <c r="L569" s="14"/>
    </row>
    <row r="570">
      <c r="L570" s="14"/>
    </row>
    <row r="571">
      <c r="L571" s="14"/>
    </row>
    <row r="572">
      <c r="L572" s="14"/>
    </row>
    <row r="573">
      <c r="L573" s="14"/>
    </row>
    <row r="574">
      <c r="L574" s="14"/>
    </row>
    <row r="575">
      <c r="L575" s="14"/>
    </row>
    <row r="576">
      <c r="L576" s="14"/>
    </row>
    <row r="577">
      <c r="L577" s="14"/>
    </row>
    <row r="578">
      <c r="L578" s="14"/>
    </row>
    <row r="579">
      <c r="L579" s="14"/>
    </row>
    <row r="580">
      <c r="L580" s="14"/>
    </row>
    <row r="581">
      <c r="L581" s="14"/>
    </row>
    <row r="582">
      <c r="L582" s="14"/>
    </row>
    <row r="583">
      <c r="L583" s="14"/>
    </row>
    <row r="584">
      <c r="L584" s="14"/>
    </row>
    <row r="585">
      <c r="L585" s="14"/>
    </row>
    <row r="586">
      <c r="L586" s="14"/>
    </row>
    <row r="587">
      <c r="L587" s="14"/>
    </row>
    <row r="588">
      <c r="L588" s="14"/>
    </row>
    <row r="589">
      <c r="L589" s="14"/>
    </row>
    <row r="590">
      <c r="L590" s="14"/>
    </row>
    <row r="591">
      <c r="L591" s="14"/>
    </row>
    <row r="592">
      <c r="L592" s="14"/>
    </row>
    <row r="593">
      <c r="L593" s="14"/>
    </row>
    <row r="594">
      <c r="L594" s="14"/>
    </row>
    <row r="595">
      <c r="L595" s="14"/>
    </row>
    <row r="596">
      <c r="L596" s="14"/>
    </row>
    <row r="597">
      <c r="L597" s="14"/>
    </row>
    <row r="598">
      <c r="L598" s="14"/>
    </row>
    <row r="599">
      <c r="L599" s="14"/>
    </row>
    <row r="600">
      <c r="L600" s="14"/>
    </row>
    <row r="601">
      <c r="L601" s="14"/>
    </row>
    <row r="602">
      <c r="L602" s="14"/>
    </row>
    <row r="603">
      <c r="L603" s="14"/>
    </row>
    <row r="604">
      <c r="L604" s="14"/>
    </row>
    <row r="605">
      <c r="L605" s="14"/>
    </row>
    <row r="606">
      <c r="L606" s="14"/>
    </row>
    <row r="607">
      <c r="L607" s="14"/>
    </row>
    <row r="608">
      <c r="L608" s="14"/>
    </row>
    <row r="609">
      <c r="L609" s="14"/>
    </row>
    <row r="610">
      <c r="L610" s="14"/>
    </row>
    <row r="611">
      <c r="L611" s="14"/>
    </row>
    <row r="612">
      <c r="L612" s="14"/>
    </row>
    <row r="613">
      <c r="L613" s="14"/>
    </row>
    <row r="614">
      <c r="L614" s="14"/>
    </row>
    <row r="615">
      <c r="L615" s="14"/>
    </row>
    <row r="616">
      <c r="L616" s="14"/>
    </row>
    <row r="617">
      <c r="L617" s="14"/>
    </row>
    <row r="618">
      <c r="L618" s="14"/>
    </row>
    <row r="619">
      <c r="L619" s="14"/>
    </row>
    <row r="620">
      <c r="L620" s="14"/>
    </row>
    <row r="621">
      <c r="L621" s="14"/>
    </row>
    <row r="622">
      <c r="L622" s="14"/>
    </row>
    <row r="623">
      <c r="L623" s="14"/>
    </row>
    <row r="624">
      <c r="L624" s="14"/>
    </row>
    <row r="625">
      <c r="L625" s="14"/>
    </row>
    <row r="626">
      <c r="L626" s="14"/>
    </row>
    <row r="627">
      <c r="L627" s="14"/>
    </row>
    <row r="628">
      <c r="L628" s="14"/>
    </row>
    <row r="629">
      <c r="L629" s="14"/>
    </row>
    <row r="630">
      <c r="L630" s="14"/>
    </row>
    <row r="631">
      <c r="L631" s="14"/>
    </row>
    <row r="632">
      <c r="L632" s="14"/>
    </row>
    <row r="633">
      <c r="L633" s="14"/>
    </row>
    <row r="634">
      <c r="L634" s="14"/>
    </row>
    <row r="635">
      <c r="L635" s="14"/>
    </row>
    <row r="636">
      <c r="L636" s="14"/>
    </row>
    <row r="637">
      <c r="L637" s="14"/>
    </row>
    <row r="638">
      <c r="L638" s="14"/>
    </row>
    <row r="639">
      <c r="L639" s="14"/>
    </row>
    <row r="640">
      <c r="L640" s="14"/>
    </row>
    <row r="641">
      <c r="L641" s="14"/>
    </row>
    <row r="642">
      <c r="L642" s="14"/>
    </row>
    <row r="643">
      <c r="L643" s="14"/>
    </row>
    <row r="644">
      <c r="L644" s="14"/>
    </row>
    <row r="645">
      <c r="L645" s="14"/>
    </row>
    <row r="646">
      <c r="L646" s="14"/>
    </row>
    <row r="647">
      <c r="L647" s="14"/>
    </row>
    <row r="648">
      <c r="L648" s="14"/>
    </row>
    <row r="649">
      <c r="L649" s="14"/>
    </row>
    <row r="650">
      <c r="L650" s="14"/>
    </row>
    <row r="651">
      <c r="L651" s="14"/>
    </row>
    <row r="652">
      <c r="L652" s="14"/>
    </row>
    <row r="653">
      <c r="L653" s="14"/>
    </row>
    <row r="654">
      <c r="L654" s="14"/>
    </row>
    <row r="655">
      <c r="L655" s="14"/>
    </row>
    <row r="656">
      <c r="L656" s="14"/>
    </row>
    <row r="657">
      <c r="L657" s="14"/>
    </row>
    <row r="658">
      <c r="L658" s="14"/>
    </row>
    <row r="659">
      <c r="L659" s="14"/>
    </row>
    <row r="660">
      <c r="L660" s="14"/>
    </row>
    <row r="661">
      <c r="L661" s="14"/>
    </row>
    <row r="662">
      <c r="L662" s="14"/>
    </row>
    <row r="663">
      <c r="L663" s="14"/>
    </row>
    <row r="664">
      <c r="L664" s="14"/>
    </row>
    <row r="665">
      <c r="L665" s="14"/>
    </row>
    <row r="666">
      <c r="L666" s="14"/>
    </row>
    <row r="667">
      <c r="L667" s="14"/>
    </row>
    <row r="668">
      <c r="L668" s="14"/>
    </row>
    <row r="669">
      <c r="L669" s="14"/>
    </row>
    <row r="670">
      <c r="L670" s="14"/>
    </row>
    <row r="671">
      <c r="L671" s="14"/>
    </row>
    <row r="672">
      <c r="L672" s="14"/>
    </row>
    <row r="673">
      <c r="L673" s="14"/>
    </row>
    <row r="674">
      <c r="L674" s="14"/>
    </row>
    <row r="675">
      <c r="L675" s="14"/>
    </row>
    <row r="676">
      <c r="L676" s="14"/>
    </row>
    <row r="677">
      <c r="L677" s="14"/>
    </row>
    <row r="678">
      <c r="L678" s="14"/>
    </row>
    <row r="679">
      <c r="L679" s="14"/>
    </row>
    <row r="680">
      <c r="L680" s="14"/>
    </row>
    <row r="681">
      <c r="L681" s="14"/>
    </row>
    <row r="682">
      <c r="L682" s="14"/>
    </row>
    <row r="683">
      <c r="L683" s="14"/>
    </row>
    <row r="684">
      <c r="L684" s="14"/>
    </row>
    <row r="685">
      <c r="L685" s="14"/>
    </row>
    <row r="686">
      <c r="L686" s="14"/>
    </row>
    <row r="687">
      <c r="L687" s="14"/>
    </row>
    <row r="688">
      <c r="L688" s="14"/>
    </row>
    <row r="689">
      <c r="L689" s="14"/>
    </row>
    <row r="690">
      <c r="L690" s="14"/>
    </row>
    <row r="691">
      <c r="L691" s="14"/>
    </row>
    <row r="692">
      <c r="L692" s="14"/>
    </row>
    <row r="693">
      <c r="L693" s="14"/>
    </row>
    <row r="694">
      <c r="L694" s="14"/>
    </row>
    <row r="695">
      <c r="L695" s="14"/>
    </row>
    <row r="696">
      <c r="L696" s="14"/>
    </row>
    <row r="697">
      <c r="L697" s="14"/>
    </row>
    <row r="698">
      <c r="L698" s="14"/>
    </row>
    <row r="699">
      <c r="L699" s="14"/>
    </row>
    <row r="700">
      <c r="L700" s="14"/>
    </row>
    <row r="701">
      <c r="L701" s="14"/>
    </row>
    <row r="702">
      <c r="L702" s="14"/>
    </row>
    <row r="703">
      <c r="L703" s="14"/>
    </row>
    <row r="704">
      <c r="L704" s="14"/>
    </row>
    <row r="705">
      <c r="L705" s="14"/>
    </row>
    <row r="706">
      <c r="L706" s="14"/>
    </row>
    <row r="707">
      <c r="L707" s="14"/>
    </row>
    <row r="708">
      <c r="L708" s="14"/>
    </row>
    <row r="709">
      <c r="L709" s="14"/>
    </row>
    <row r="710">
      <c r="L710" s="14"/>
    </row>
    <row r="711">
      <c r="L711" s="14"/>
    </row>
    <row r="712">
      <c r="L712" s="14"/>
    </row>
    <row r="713">
      <c r="L713" s="14"/>
    </row>
    <row r="714">
      <c r="L714" s="14"/>
    </row>
    <row r="715">
      <c r="L715" s="14"/>
    </row>
    <row r="716">
      <c r="L716" s="14"/>
    </row>
    <row r="717">
      <c r="L717" s="14"/>
    </row>
    <row r="718">
      <c r="L718" s="14"/>
    </row>
    <row r="719">
      <c r="L719" s="14"/>
    </row>
    <row r="720">
      <c r="L720" s="14"/>
    </row>
    <row r="721">
      <c r="L721" s="14"/>
    </row>
    <row r="722">
      <c r="L722" s="14"/>
    </row>
    <row r="723">
      <c r="L723" s="14"/>
    </row>
    <row r="724">
      <c r="L724" s="14"/>
    </row>
    <row r="725">
      <c r="L725" s="14"/>
    </row>
    <row r="726">
      <c r="L726" s="14"/>
    </row>
    <row r="727">
      <c r="L727" s="14"/>
    </row>
    <row r="728">
      <c r="L728" s="14"/>
    </row>
    <row r="729">
      <c r="L729" s="14"/>
    </row>
    <row r="730">
      <c r="L730" s="14"/>
    </row>
    <row r="731">
      <c r="L731" s="14"/>
    </row>
    <row r="732">
      <c r="L732" s="14"/>
    </row>
    <row r="733">
      <c r="L733" s="14"/>
    </row>
    <row r="734">
      <c r="L734" s="14"/>
    </row>
    <row r="735">
      <c r="L735" s="14"/>
    </row>
    <row r="736">
      <c r="L736" s="14"/>
    </row>
    <row r="737">
      <c r="L737" s="14"/>
    </row>
    <row r="738">
      <c r="L738" s="14"/>
    </row>
    <row r="739">
      <c r="L739" s="14"/>
    </row>
    <row r="740">
      <c r="L740" s="14"/>
    </row>
    <row r="741">
      <c r="L741" s="14"/>
    </row>
    <row r="742">
      <c r="L742" s="14"/>
    </row>
    <row r="743">
      <c r="L743" s="14"/>
    </row>
    <row r="744">
      <c r="L744" s="14"/>
    </row>
    <row r="745">
      <c r="L745" s="14"/>
    </row>
    <row r="746">
      <c r="L746" s="14"/>
    </row>
    <row r="747">
      <c r="L747" s="14"/>
    </row>
    <row r="748">
      <c r="L748" s="14"/>
    </row>
    <row r="749">
      <c r="L749" s="14"/>
    </row>
    <row r="750">
      <c r="L750" s="14"/>
    </row>
    <row r="751">
      <c r="L751" s="14"/>
    </row>
    <row r="752">
      <c r="L752" s="14"/>
    </row>
    <row r="753">
      <c r="L753" s="14"/>
    </row>
    <row r="754">
      <c r="L754" s="14"/>
    </row>
    <row r="755">
      <c r="L755" s="14"/>
    </row>
    <row r="756">
      <c r="L756" s="14"/>
    </row>
    <row r="757">
      <c r="L757" s="14"/>
    </row>
    <row r="758">
      <c r="L758" s="14"/>
    </row>
    <row r="759">
      <c r="L759" s="14"/>
    </row>
    <row r="760">
      <c r="L760" s="14"/>
    </row>
    <row r="761">
      <c r="L761" s="14"/>
    </row>
    <row r="762">
      <c r="L762" s="14"/>
    </row>
    <row r="763">
      <c r="L763" s="14"/>
    </row>
    <row r="764">
      <c r="L764" s="14"/>
    </row>
    <row r="765">
      <c r="L765" s="14"/>
    </row>
    <row r="766">
      <c r="L766" s="14"/>
    </row>
    <row r="767">
      <c r="L767" s="14"/>
    </row>
    <row r="768">
      <c r="L768" s="14"/>
    </row>
    <row r="769">
      <c r="L769" s="14"/>
    </row>
    <row r="770">
      <c r="L770" s="14"/>
    </row>
    <row r="771">
      <c r="L771" s="14"/>
    </row>
    <row r="772">
      <c r="L772" s="14"/>
    </row>
    <row r="773">
      <c r="L773" s="14"/>
    </row>
    <row r="774">
      <c r="L774" s="14"/>
    </row>
    <row r="775">
      <c r="L775" s="14"/>
    </row>
    <row r="776">
      <c r="L776" s="14"/>
    </row>
    <row r="777">
      <c r="L777" s="14"/>
    </row>
    <row r="778">
      <c r="L778" s="14"/>
    </row>
    <row r="779">
      <c r="L779" s="14"/>
    </row>
    <row r="780">
      <c r="L780" s="14"/>
    </row>
    <row r="781">
      <c r="L781" s="14"/>
    </row>
    <row r="782">
      <c r="L782" s="14"/>
    </row>
    <row r="783">
      <c r="L783" s="14"/>
    </row>
    <row r="784">
      <c r="L784" s="14"/>
    </row>
    <row r="785">
      <c r="L785" s="14"/>
    </row>
    <row r="786">
      <c r="L786" s="14"/>
    </row>
    <row r="787">
      <c r="L787" s="14"/>
    </row>
    <row r="788">
      <c r="L788" s="14"/>
    </row>
    <row r="789">
      <c r="L789" s="14"/>
    </row>
    <row r="790">
      <c r="L790" s="14"/>
    </row>
    <row r="791">
      <c r="L791" s="14"/>
    </row>
    <row r="792">
      <c r="L792" s="14"/>
    </row>
    <row r="793">
      <c r="L793" s="14"/>
    </row>
    <row r="794">
      <c r="L794" s="14"/>
    </row>
    <row r="795">
      <c r="L795" s="14"/>
    </row>
    <row r="796">
      <c r="L796" s="14"/>
    </row>
    <row r="797">
      <c r="L797" s="14"/>
    </row>
    <row r="798">
      <c r="L798" s="14"/>
    </row>
    <row r="799">
      <c r="L799" s="14"/>
    </row>
    <row r="800">
      <c r="L800" s="14"/>
    </row>
    <row r="801">
      <c r="L801" s="14"/>
    </row>
    <row r="802">
      <c r="L802" s="14"/>
    </row>
    <row r="803">
      <c r="L803" s="14"/>
    </row>
    <row r="804">
      <c r="L804" s="14"/>
    </row>
    <row r="805">
      <c r="L805"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107</v>
      </c>
      <c r="B1" s="24" t="s">
        <v>108</v>
      </c>
      <c r="C1" s="25" t="s">
        <v>109</v>
      </c>
    </row>
    <row r="2">
      <c r="A2" s="24" t="s">
        <v>110</v>
      </c>
      <c r="B2" s="26">
        <f>65/98</f>
        <v>0.6632653061</v>
      </c>
      <c r="C2" s="26">
        <f>60/98</f>
        <v>0.612244898</v>
      </c>
    </row>
    <row r="3">
      <c r="A3" s="24" t="s">
        <v>111</v>
      </c>
      <c r="B3" s="26">
        <f>89/98</f>
        <v>0.9081632653</v>
      </c>
      <c r="C3" s="26">
        <f>91/98</f>
        <v>0.9285714286</v>
      </c>
    </row>
    <row r="4">
      <c r="A4" s="24" t="s">
        <v>112</v>
      </c>
      <c r="B4" s="26">
        <f>86/98</f>
        <v>0.8775510204</v>
      </c>
      <c r="C4" s="26">
        <f>95/98</f>
        <v>0.9693877551</v>
      </c>
    </row>
    <row r="5">
      <c r="A5" s="24" t="s">
        <v>113</v>
      </c>
      <c r="B5" s="26">
        <f t="shared" ref="B5:C5" si="1">88/98</f>
        <v>0.8979591837</v>
      </c>
      <c r="C5" s="26">
        <f t="shared" si="1"/>
        <v>0.8979591837</v>
      </c>
    </row>
    <row r="6">
      <c r="A6" s="24" t="s">
        <v>114</v>
      </c>
      <c r="B6" s="26">
        <f>71/98</f>
        <v>0.7244897959</v>
      </c>
      <c r="C6" s="26">
        <f>70/98</f>
        <v>0.7142857143</v>
      </c>
    </row>
    <row r="7">
      <c r="A7" s="24" t="s">
        <v>115</v>
      </c>
      <c r="B7" s="26">
        <f>67/98</f>
        <v>0.6836734694</v>
      </c>
      <c r="C7" s="26">
        <f>61/98</f>
        <v>0.6224489796</v>
      </c>
    </row>
    <row r="8">
      <c r="A8" s="24" t="s">
        <v>116</v>
      </c>
      <c r="B8" s="26">
        <f>77/98</f>
        <v>0.7857142857</v>
      </c>
      <c r="C8" s="26">
        <f>80/98</f>
        <v>0.8163265306</v>
      </c>
    </row>
    <row r="9">
      <c r="A9" s="24" t="s">
        <v>117</v>
      </c>
      <c r="B9" s="26">
        <f>83/98</f>
        <v>0.8469387755</v>
      </c>
      <c r="C9" s="26">
        <f>93/98</f>
        <v>0.9489795918</v>
      </c>
    </row>
    <row r="12">
      <c r="C12" s="27"/>
    </row>
    <row r="13">
      <c r="C13" s="27"/>
    </row>
    <row r="14">
      <c r="C14" s="27"/>
    </row>
    <row r="15">
      <c r="C15" s="27"/>
    </row>
    <row r="16">
      <c r="C16" s="27"/>
    </row>
    <row r="17">
      <c r="C17" s="27"/>
    </row>
    <row r="18">
      <c r="C18" s="27"/>
    </row>
    <row r="19">
      <c r="C19" s="27"/>
    </row>
    <row r="20">
      <c r="C20" s="27"/>
    </row>
    <row r="21">
      <c r="C21" s="27"/>
    </row>
    <row r="22">
      <c r="C22" s="27"/>
    </row>
    <row r="23">
      <c r="C23" s="27"/>
    </row>
    <row r="24">
      <c r="C24" s="27"/>
    </row>
    <row r="25">
      <c r="C25" s="27"/>
    </row>
    <row r="26">
      <c r="C26" s="27"/>
    </row>
    <row r="27">
      <c r="C27" s="27"/>
    </row>
    <row r="28">
      <c r="C28" s="27"/>
    </row>
    <row r="29">
      <c r="C29" s="27"/>
    </row>
    <row r="30">
      <c r="C30" s="27"/>
    </row>
    <row r="31">
      <c r="C31" s="27"/>
    </row>
    <row r="32">
      <c r="C32" s="27"/>
    </row>
    <row r="33">
      <c r="C33" s="27"/>
    </row>
    <row r="34">
      <c r="C34" s="27"/>
    </row>
    <row r="35">
      <c r="C35" s="27"/>
    </row>
    <row r="36">
      <c r="C36" s="27"/>
    </row>
    <row r="37">
      <c r="C37" s="27"/>
    </row>
    <row r="38">
      <c r="C38" s="27"/>
    </row>
    <row r="39">
      <c r="C39" s="27"/>
    </row>
    <row r="40">
      <c r="C40" s="27"/>
    </row>
    <row r="41">
      <c r="C41" s="27"/>
    </row>
    <row r="42">
      <c r="C42" s="27"/>
    </row>
    <row r="43">
      <c r="C43" s="27"/>
    </row>
    <row r="44">
      <c r="C44" s="27"/>
    </row>
    <row r="45">
      <c r="C45" s="27"/>
    </row>
    <row r="46">
      <c r="C46" s="27"/>
    </row>
    <row r="47">
      <c r="C47" s="27"/>
    </row>
    <row r="48">
      <c r="C48" s="27"/>
    </row>
    <row r="49">
      <c r="C49" s="27"/>
    </row>
    <row r="50">
      <c r="C50" s="27"/>
    </row>
    <row r="51">
      <c r="C51" s="27"/>
    </row>
    <row r="52">
      <c r="C52" s="27"/>
    </row>
    <row r="53">
      <c r="C53" s="27"/>
    </row>
    <row r="54">
      <c r="C54" s="27"/>
    </row>
    <row r="55">
      <c r="C55" s="27"/>
    </row>
    <row r="56">
      <c r="C56" s="27"/>
    </row>
    <row r="57">
      <c r="C57" s="27"/>
    </row>
    <row r="58">
      <c r="C58" s="27"/>
    </row>
    <row r="59">
      <c r="C59" s="27"/>
    </row>
    <row r="60">
      <c r="C60" s="27"/>
    </row>
    <row r="61">
      <c r="C61" s="27"/>
    </row>
    <row r="62">
      <c r="C62" s="27"/>
    </row>
    <row r="63">
      <c r="C63" s="27"/>
    </row>
    <row r="64">
      <c r="C64" s="27"/>
    </row>
    <row r="65">
      <c r="C65" s="27"/>
    </row>
    <row r="66">
      <c r="C66" s="27"/>
    </row>
    <row r="67">
      <c r="C67" s="27"/>
    </row>
    <row r="68">
      <c r="C68" s="27"/>
    </row>
    <row r="69">
      <c r="C69" s="27"/>
    </row>
    <row r="70">
      <c r="C70" s="27"/>
    </row>
    <row r="71">
      <c r="C71" s="27"/>
    </row>
    <row r="72">
      <c r="C72" s="27"/>
    </row>
    <row r="73">
      <c r="C73" s="27"/>
    </row>
    <row r="74">
      <c r="C74" s="27"/>
    </row>
    <row r="75">
      <c r="C75" s="27"/>
    </row>
    <row r="76">
      <c r="C76" s="27"/>
    </row>
    <row r="77">
      <c r="C77" s="27"/>
    </row>
    <row r="78">
      <c r="C78" s="27"/>
    </row>
    <row r="79">
      <c r="C79" s="27"/>
    </row>
    <row r="80">
      <c r="C80" s="27"/>
    </row>
    <row r="81">
      <c r="C81" s="27"/>
    </row>
    <row r="82">
      <c r="C82" s="27"/>
    </row>
    <row r="83">
      <c r="C83" s="27"/>
    </row>
    <row r="84">
      <c r="C84" s="27"/>
    </row>
    <row r="85">
      <c r="C85" s="27"/>
    </row>
    <row r="86">
      <c r="C86" s="27"/>
    </row>
    <row r="87">
      <c r="C87" s="27"/>
    </row>
    <row r="88">
      <c r="C88" s="27"/>
    </row>
    <row r="89">
      <c r="C89" s="27"/>
    </row>
    <row r="90">
      <c r="C90" s="27"/>
    </row>
    <row r="91">
      <c r="C91" s="27"/>
    </row>
    <row r="92">
      <c r="C92" s="27"/>
    </row>
    <row r="93">
      <c r="C93" s="27"/>
    </row>
    <row r="94">
      <c r="C94" s="27"/>
    </row>
    <row r="95">
      <c r="C95" s="27"/>
    </row>
    <row r="96">
      <c r="C96" s="27"/>
    </row>
    <row r="97">
      <c r="C97" s="27"/>
    </row>
    <row r="98">
      <c r="C98" s="27"/>
    </row>
    <row r="99">
      <c r="C99" s="27"/>
    </row>
    <row r="100">
      <c r="C100" s="27"/>
    </row>
    <row r="101">
      <c r="C101" s="27"/>
    </row>
    <row r="102">
      <c r="C102" s="27"/>
    </row>
    <row r="103">
      <c r="C103" s="27"/>
    </row>
    <row r="104">
      <c r="C104" s="27"/>
    </row>
    <row r="105">
      <c r="C105" s="27"/>
    </row>
    <row r="106">
      <c r="C106" s="27"/>
    </row>
    <row r="107">
      <c r="C107" s="27"/>
    </row>
    <row r="108">
      <c r="C108" s="27"/>
    </row>
    <row r="109">
      <c r="C109" s="27"/>
    </row>
    <row r="110">
      <c r="C110" s="27"/>
    </row>
    <row r="111">
      <c r="C111" s="27"/>
    </row>
    <row r="112">
      <c r="C112" s="27"/>
    </row>
    <row r="113">
      <c r="C113" s="27"/>
    </row>
    <row r="114">
      <c r="C114" s="27"/>
    </row>
    <row r="115">
      <c r="C115" s="27"/>
    </row>
    <row r="116">
      <c r="C116" s="27"/>
    </row>
    <row r="117">
      <c r="C117" s="27"/>
    </row>
    <row r="118">
      <c r="C118" s="27"/>
    </row>
    <row r="119">
      <c r="C119" s="27"/>
    </row>
    <row r="120">
      <c r="C120" s="27"/>
    </row>
    <row r="121">
      <c r="C121" s="27"/>
    </row>
    <row r="122">
      <c r="C122" s="27"/>
    </row>
    <row r="123">
      <c r="C123" s="27"/>
    </row>
    <row r="124">
      <c r="C124" s="27"/>
    </row>
    <row r="125">
      <c r="C125" s="27"/>
    </row>
    <row r="126">
      <c r="C126" s="27"/>
    </row>
    <row r="127">
      <c r="C127" s="27"/>
    </row>
    <row r="128">
      <c r="C128" s="27"/>
    </row>
    <row r="129">
      <c r="C129" s="27"/>
    </row>
    <row r="130">
      <c r="C130" s="27"/>
    </row>
    <row r="131">
      <c r="C131" s="27"/>
    </row>
    <row r="132">
      <c r="C132" s="27"/>
    </row>
    <row r="133">
      <c r="C133" s="27"/>
    </row>
    <row r="134">
      <c r="C134" s="27"/>
    </row>
    <row r="135">
      <c r="C135" s="27"/>
    </row>
    <row r="136">
      <c r="C136" s="27"/>
    </row>
    <row r="137">
      <c r="C137" s="27"/>
    </row>
    <row r="138">
      <c r="C138" s="27"/>
    </row>
    <row r="139">
      <c r="C139" s="27"/>
    </row>
    <row r="140">
      <c r="C140" s="27"/>
    </row>
    <row r="141">
      <c r="C141" s="27"/>
    </row>
    <row r="142">
      <c r="C142" s="27"/>
    </row>
    <row r="143">
      <c r="C143" s="27"/>
    </row>
    <row r="144">
      <c r="C144" s="27"/>
    </row>
    <row r="145">
      <c r="C145" s="27"/>
    </row>
    <row r="146">
      <c r="C146" s="27"/>
    </row>
    <row r="147">
      <c r="C147" s="27"/>
    </row>
    <row r="148">
      <c r="C148" s="27"/>
    </row>
    <row r="149">
      <c r="C149" s="27"/>
    </row>
    <row r="150">
      <c r="C150" s="27"/>
    </row>
    <row r="151">
      <c r="C151" s="27"/>
    </row>
    <row r="152">
      <c r="C152" s="27"/>
    </row>
    <row r="153">
      <c r="C153" s="27"/>
    </row>
    <row r="154">
      <c r="C154" s="27"/>
    </row>
    <row r="155">
      <c r="C155" s="27"/>
    </row>
    <row r="156">
      <c r="C156" s="27"/>
    </row>
    <row r="157">
      <c r="C157" s="27"/>
    </row>
    <row r="158">
      <c r="C158" s="27"/>
    </row>
    <row r="159">
      <c r="C159" s="27"/>
    </row>
    <row r="160">
      <c r="C160" s="27"/>
    </row>
    <row r="161">
      <c r="C161" s="27"/>
    </row>
    <row r="162">
      <c r="C162" s="27"/>
    </row>
    <row r="163">
      <c r="C163" s="27"/>
    </row>
    <row r="164">
      <c r="C164" s="27"/>
    </row>
    <row r="165">
      <c r="C165" s="27"/>
    </row>
    <row r="166">
      <c r="C166" s="27"/>
    </row>
    <row r="167">
      <c r="C167" s="27"/>
    </row>
    <row r="168">
      <c r="C168" s="27"/>
    </row>
    <row r="169">
      <c r="C169" s="27"/>
    </row>
    <row r="170">
      <c r="C170" s="27"/>
    </row>
    <row r="171">
      <c r="C171" s="27"/>
    </row>
    <row r="172">
      <c r="C172" s="27"/>
    </row>
    <row r="173">
      <c r="C173" s="27"/>
    </row>
    <row r="174">
      <c r="C174" s="27"/>
    </row>
    <row r="175">
      <c r="C175" s="27"/>
    </row>
    <row r="176">
      <c r="C176" s="27"/>
    </row>
    <row r="177">
      <c r="C177" s="27"/>
    </row>
    <row r="178">
      <c r="C178" s="27"/>
    </row>
    <row r="179">
      <c r="C179" s="27"/>
    </row>
    <row r="180">
      <c r="C180" s="27"/>
    </row>
    <row r="181">
      <c r="C181" s="27"/>
    </row>
    <row r="182">
      <c r="C182" s="27"/>
    </row>
    <row r="183">
      <c r="C183" s="27"/>
    </row>
    <row r="184">
      <c r="C184" s="27"/>
    </row>
    <row r="185">
      <c r="C185" s="27"/>
    </row>
    <row r="186">
      <c r="C186" s="27"/>
    </row>
    <row r="187">
      <c r="C187" s="27"/>
    </row>
    <row r="188">
      <c r="C188" s="27"/>
    </row>
    <row r="189">
      <c r="C189" s="27"/>
    </row>
    <row r="190">
      <c r="C190" s="27"/>
    </row>
    <row r="191">
      <c r="C191" s="27"/>
    </row>
    <row r="192">
      <c r="C192" s="27"/>
    </row>
    <row r="193">
      <c r="C193" s="27"/>
    </row>
    <row r="194">
      <c r="C194" s="27"/>
    </row>
    <row r="195">
      <c r="C195" s="27"/>
    </row>
    <row r="196">
      <c r="C196" s="27"/>
    </row>
    <row r="197">
      <c r="C197" s="27"/>
    </row>
    <row r="198">
      <c r="C198" s="27"/>
    </row>
    <row r="199">
      <c r="C199" s="27"/>
    </row>
    <row r="200">
      <c r="C200" s="27"/>
    </row>
    <row r="201">
      <c r="C201" s="27"/>
    </row>
    <row r="202">
      <c r="C202" s="27"/>
    </row>
    <row r="203">
      <c r="C203" s="27"/>
    </row>
    <row r="204">
      <c r="C204" s="27"/>
    </row>
    <row r="205">
      <c r="C205" s="27"/>
    </row>
    <row r="206">
      <c r="C206" s="27"/>
    </row>
    <row r="207">
      <c r="C207" s="27"/>
    </row>
    <row r="208">
      <c r="C208" s="27"/>
    </row>
    <row r="209">
      <c r="C209" s="27"/>
    </row>
    <row r="210">
      <c r="C210" s="27"/>
    </row>
    <row r="211">
      <c r="C211" s="27"/>
    </row>
    <row r="212">
      <c r="C212" s="27"/>
    </row>
    <row r="213">
      <c r="C213" s="27"/>
    </row>
    <row r="214">
      <c r="C214" s="27"/>
    </row>
    <row r="215">
      <c r="C215" s="27"/>
    </row>
    <row r="216">
      <c r="C216" s="27"/>
    </row>
    <row r="217">
      <c r="C217" s="27"/>
    </row>
    <row r="218">
      <c r="C218" s="27"/>
    </row>
    <row r="219">
      <c r="C219" s="27"/>
    </row>
    <row r="220">
      <c r="C220" s="27"/>
    </row>
    <row r="221">
      <c r="C221" s="27"/>
    </row>
    <row r="222">
      <c r="C222" s="27"/>
    </row>
    <row r="223">
      <c r="C223" s="27"/>
    </row>
    <row r="224">
      <c r="C224" s="27"/>
    </row>
    <row r="225">
      <c r="C225" s="27"/>
    </row>
    <row r="226">
      <c r="C226" s="27"/>
    </row>
    <row r="227">
      <c r="C227" s="27"/>
    </row>
    <row r="228">
      <c r="C228" s="27"/>
    </row>
    <row r="229">
      <c r="C229" s="27"/>
    </row>
    <row r="230">
      <c r="C230" s="27"/>
    </row>
    <row r="231">
      <c r="C231" s="27"/>
    </row>
    <row r="232">
      <c r="C232" s="27"/>
    </row>
    <row r="233">
      <c r="C233" s="27"/>
    </row>
    <row r="234">
      <c r="C234" s="27"/>
    </row>
    <row r="235">
      <c r="C235" s="27"/>
    </row>
    <row r="236">
      <c r="C236" s="27"/>
    </row>
    <row r="237">
      <c r="C237" s="27"/>
    </row>
    <row r="238">
      <c r="C238" s="27"/>
    </row>
    <row r="239">
      <c r="C239" s="27"/>
    </row>
    <row r="240">
      <c r="C240" s="27"/>
    </row>
    <row r="241">
      <c r="C241" s="27"/>
    </row>
    <row r="242">
      <c r="C242" s="27"/>
    </row>
    <row r="243">
      <c r="C243" s="27"/>
    </row>
    <row r="244">
      <c r="C244" s="27"/>
    </row>
    <row r="245">
      <c r="C245" s="27"/>
    </row>
    <row r="246">
      <c r="C246" s="27"/>
    </row>
    <row r="247">
      <c r="C247" s="27"/>
    </row>
    <row r="248">
      <c r="C248" s="27"/>
    </row>
    <row r="249">
      <c r="C249" s="27"/>
    </row>
    <row r="250">
      <c r="C250" s="27"/>
    </row>
    <row r="251">
      <c r="C251" s="27"/>
    </row>
    <row r="252">
      <c r="C252" s="27"/>
    </row>
    <row r="253">
      <c r="C253" s="27"/>
    </row>
    <row r="254">
      <c r="C254" s="27"/>
    </row>
    <row r="255">
      <c r="C255" s="27"/>
    </row>
    <row r="256">
      <c r="C256" s="27"/>
    </row>
    <row r="257">
      <c r="C257" s="27"/>
    </row>
    <row r="258">
      <c r="C258" s="27"/>
    </row>
    <row r="259">
      <c r="C259" s="27"/>
    </row>
    <row r="260">
      <c r="C260" s="27"/>
    </row>
    <row r="261">
      <c r="C261" s="27"/>
    </row>
    <row r="262">
      <c r="C262" s="27"/>
    </row>
    <row r="263">
      <c r="C263" s="27"/>
    </row>
    <row r="264">
      <c r="C264" s="27"/>
    </row>
    <row r="265">
      <c r="C265" s="27"/>
    </row>
    <row r="266">
      <c r="C266" s="27"/>
    </row>
    <row r="267">
      <c r="C267" s="27"/>
    </row>
    <row r="268">
      <c r="C268" s="27"/>
    </row>
    <row r="269">
      <c r="C269" s="27"/>
    </row>
    <row r="270">
      <c r="C270" s="27"/>
    </row>
    <row r="271">
      <c r="C271" s="27"/>
    </row>
    <row r="272">
      <c r="C272" s="27"/>
    </row>
    <row r="273">
      <c r="C273" s="27"/>
    </row>
    <row r="274">
      <c r="C274" s="27"/>
    </row>
    <row r="275">
      <c r="C275" s="27"/>
    </row>
    <row r="276">
      <c r="C276" s="27"/>
    </row>
    <row r="277">
      <c r="C277" s="27"/>
    </row>
    <row r="278">
      <c r="C278" s="27"/>
    </row>
    <row r="279">
      <c r="C279" s="27"/>
    </row>
    <row r="280">
      <c r="C280" s="27"/>
    </row>
    <row r="281">
      <c r="C281" s="27"/>
    </row>
    <row r="282">
      <c r="C282" s="27"/>
    </row>
    <row r="283">
      <c r="C283" s="27"/>
    </row>
    <row r="284">
      <c r="C284" s="27"/>
    </row>
    <row r="285">
      <c r="C285" s="27"/>
    </row>
    <row r="286">
      <c r="C286" s="27"/>
    </row>
    <row r="287">
      <c r="C287" s="27"/>
    </row>
    <row r="288">
      <c r="C288" s="27"/>
    </row>
    <row r="289">
      <c r="C289" s="27"/>
    </row>
    <row r="290">
      <c r="C290" s="27"/>
    </row>
    <row r="291">
      <c r="C291" s="27"/>
    </row>
    <row r="292">
      <c r="C292" s="27"/>
    </row>
    <row r="293">
      <c r="C293" s="27"/>
    </row>
    <row r="294">
      <c r="C294" s="27"/>
    </row>
    <row r="295">
      <c r="C295" s="27"/>
    </row>
    <row r="296">
      <c r="C296" s="27"/>
    </row>
    <row r="297">
      <c r="C297" s="27"/>
    </row>
    <row r="298">
      <c r="C298" s="27"/>
    </row>
    <row r="299">
      <c r="C299" s="27"/>
    </row>
    <row r="300">
      <c r="C300" s="27"/>
    </row>
    <row r="301">
      <c r="C301" s="27"/>
    </row>
    <row r="302">
      <c r="C302" s="27"/>
    </row>
    <row r="303">
      <c r="C303" s="27"/>
    </row>
    <row r="304">
      <c r="C304" s="27"/>
    </row>
    <row r="305">
      <c r="C305" s="27"/>
    </row>
    <row r="306">
      <c r="C306" s="27"/>
    </row>
    <row r="307">
      <c r="C307" s="27"/>
    </row>
    <row r="308">
      <c r="C308" s="27"/>
    </row>
    <row r="309">
      <c r="C309" s="27"/>
    </row>
    <row r="310">
      <c r="C310" s="27"/>
    </row>
    <row r="311">
      <c r="C311" s="27"/>
    </row>
    <row r="312">
      <c r="C312" s="27"/>
    </row>
    <row r="313">
      <c r="C313" s="27"/>
    </row>
    <row r="314">
      <c r="C314" s="27"/>
    </row>
    <row r="315">
      <c r="C315" s="27"/>
    </row>
    <row r="316">
      <c r="C316" s="27"/>
    </row>
    <row r="317">
      <c r="C317" s="27"/>
    </row>
    <row r="318">
      <c r="C318" s="27"/>
    </row>
    <row r="319">
      <c r="C319" s="27"/>
    </row>
    <row r="320">
      <c r="C320" s="27"/>
    </row>
    <row r="321">
      <c r="C321" s="27"/>
    </row>
    <row r="322">
      <c r="C322" s="27"/>
    </row>
    <row r="323">
      <c r="C323" s="27"/>
    </row>
    <row r="324">
      <c r="C324" s="27"/>
    </row>
    <row r="325">
      <c r="C325" s="27"/>
    </row>
    <row r="326">
      <c r="C326" s="27"/>
    </row>
    <row r="327">
      <c r="C327" s="27"/>
    </row>
    <row r="328">
      <c r="C328" s="27"/>
    </row>
    <row r="329">
      <c r="C329" s="27"/>
    </row>
    <row r="330">
      <c r="C330" s="27"/>
    </row>
    <row r="331">
      <c r="C331" s="27"/>
    </row>
    <row r="332">
      <c r="C332" s="27"/>
    </row>
    <row r="333">
      <c r="C333" s="27"/>
    </row>
    <row r="334">
      <c r="C334" s="27"/>
    </row>
    <row r="335">
      <c r="C335" s="27"/>
    </row>
    <row r="336">
      <c r="C336" s="27"/>
    </row>
    <row r="337">
      <c r="C337" s="27"/>
    </row>
    <row r="338">
      <c r="C338" s="27"/>
    </row>
    <row r="339">
      <c r="C339" s="27"/>
    </row>
    <row r="340">
      <c r="C340" s="27"/>
    </row>
    <row r="341">
      <c r="C341" s="27"/>
    </row>
    <row r="342">
      <c r="C342" s="27"/>
    </row>
    <row r="343">
      <c r="C343" s="27"/>
    </row>
    <row r="344">
      <c r="C344" s="27"/>
    </row>
    <row r="345">
      <c r="C345" s="27"/>
    </row>
    <row r="346">
      <c r="C346" s="27"/>
    </row>
    <row r="347">
      <c r="C347" s="27"/>
    </row>
    <row r="348">
      <c r="C348" s="27"/>
    </row>
    <row r="349">
      <c r="C349" s="27"/>
    </row>
    <row r="350">
      <c r="C350" s="27"/>
    </row>
    <row r="351">
      <c r="C351" s="27"/>
    </row>
    <row r="352">
      <c r="C352" s="27"/>
    </row>
    <row r="353">
      <c r="C353" s="27"/>
    </row>
    <row r="354">
      <c r="C354" s="27"/>
    </row>
    <row r="355">
      <c r="C355" s="27"/>
    </row>
    <row r="356">
      <c r="C356" s="27"/>
    </row>
    <row r="357">
      <c r="C357" s="27"/>
    </row>
    <row r="358">
      <c r="C358" s="27"/>
    </row>
    <row r="359">
      <c r="C359" s="27"/>
    </row>
    <row r="360">
      <c r="C360" s="27"/>
    </row>
    <row r="361">
      <c r="C361" s="27"/>
    </row>
    <row r="362">
      <c r="C362" s="27"/>
    </row>
    <row r="363">
      <c r="C363" s="27"/>
    </row>
    <row r="364">
      <c r="C364" s="27"/>
    </row>
    <row r="365">
      <c r="C365" s="27"/>
    </row>
    <row r="366">
      <c r="C366" s="27"/>
    </row>
    <row r="367">
      <c r="C367" s="27"/>
    </row>
    <row r="368">
      <c r="C368" s="27"/>
    </row>
    <row r="369">
      <c r="C369" s="27"/>
    </row>
    <row r="370">
      <c r="C370" s="27"/>
    </row>
    <row r="371">
      <c r="C371" s="27"/>
    </row>
    <row r="372">
      <c r="C372" s="27"/>
    </row>
    <row r="373">
      <c r="C373" s="27"/>
    </row>
    <row r="374">
      <c r="C374" s="27"/>
    </row>
    <row r="375">
      <c r="C375" s="27"/>
    </row>
    <row r="376">
      <c r="C376" s="27"/>
    </row>
    <row r="377">
      <c r="C377" s="27"/>
    </row>
    <row r="378">
      <c r="C378" s="27"/>
    </row>
    <row r="379">
      <c r="C379" s="27"/>
    </row>
    <row r="380">
      <c r="C380" s="27"/>
    </row>
    <row r="381">
      <c r="C381" s="27"/>
    </row>
    <row r="382">
      <c r="C382" s="27"/>
    </row>
    <row r="383">
      <c r="C383" s="27"/>
    </row>
    <row r="384">
      <c r="C384" s="27"/>
    </row>
    <row r="385">
      <c r="C385" s="27"/>
    </row>
    <row r="386">
      <c r="C386" s="27"/>
    </row>
    <row r="387">
      <c r="C387" s="27"/>
    </row>
    <row r="388">
      <c r="C388" s="27"/>
    </row>
    <row r="389">
      <c r="C389" s="27"/>
    </row>
    <row r="390">
      <c r="C390" s="27"/>
    </row>
    <row r="391">
      <c r="C391" s="27"/>
    </row>
    <row r="392">
      <c r="C392" s="27"/>
    </row>
    <row r="393">
      <c r="C393" s="27"/>
    </row>
    <row r="394">
      <c r="C394" s="27"/>
    </row>
    <row r="395">
      <c r="C395" s="27"/>
    </row>
    <row r="396">
      <c r="C396" s="27"/>
    </row>
    <row r="397">
      <c r="C397" s="27"/>
    </row>
    <row r="398">
      <c r="C398" s="27"/>
    </row>
    <row r="399">
      <c r="C399" s="27"/>
    </row>
    <row r="400">
      <c r="C400" s="27"/>
    </row>
    <row r="401">
      <c r="C401" s="27"/>
    </row>
    <row r="402">
      <c r="C402" s="27"/>
    </row>
    <row r="403">
      <c r="C403" s="27"/>
    </row>
    <row r="404">
      <c r="C404" s="27"/>
    </row>
    <row r="405">
      <c r="C405" s="27"/>
    </row>
    <row r="406">
      <c r="C406" s="27"/>
    </row>
    <row r="407">
      <c r="C407" s="27"/>
    </row>
    <row r="408">
      <c r="C408" s="27"/>
    </row>
    <row r="409">
      <c r="C409" s="27"/>
    </row>
    <row r="410">
      <c r="C410" s="27"/>
    </row>
    <row r="411">
      <c r="C411" s="27"/>
    </row>
    <row r="412">
      <c r="C412" s="27"/>
    </row>
    <row r="413">
      <c r="C413" s="27"/>
    </row>
    <row r="414">
      <c r="C414" s="27"/>
    </row>
    <row r="415">
      <c r="C415" s="27"/>
    </row>
    <row r="416">
      <c r="C416" s="27"/>
    </row>
    <row r="417">
      <c r="C417" s="27"/>
    </row>
    <row r="418">
      <c r="C418" s="27"/>
    </row>
    <row r="419">
      <c r="C419" s="27"/>
    </row>
    <row r="420">
      <c r="C420" s="27"/>
    </row>
    <row r="421">
      <c r="C421" s="27"/>
    </row>
    <row r="422">
      <c r="C422" s="27"/>
    </row>
    <row r="423">
      <c r="C423" s="27"/>
    </row>
    <row r="424">
      <c r="C424" s="27"/>
    </row>
    <row r="425">
      <c r="C425" s="27"/>
    </row>
    <row r="426">
      <c r="C426" s="27"/>
    </row>
    <row r="427">
      <c r="C427" s="27"/>
    </row>
    <row r="428">
      <c r="C428" s="27"/>
    </row>
    <row r="429">
      <c r="C429" s="27"/>
    </row>
    <row r="430">
      <c r="C430" s="27"/>
    </row>
    <row r="431">
      <c r="C431" s="27"/>
    </row>
    <row r="432">
      <c r="C432" s="27"/>
    </row>
    <row r="433">
      <c r="C433" s="27"/>
    </row>
    <row r="434">
      <c r="C434" s="27"/>
    </row>
    <row r="435">
      <c r="C435" s="27"/>
    </row>
    <row r="436">
      <c r="C436" s="27"/>
    </row>
    <row r="437">
      <c r="C437" s="27"/>
    </row>
    <row r="438">
      <c r="C438" s="27"/>
    </row>
    <row r="439">
      <c r="C439" s="27"/>
    </row>
    <row r="440">
      <c r="C440" s="27"/>
    </row>
    <row r="441">
      <c r="C441" s="27"/>
    </row>
    <row r="442">
      <c r="C442" s="27"/>
    </row>
    <row r="443">
      <c r="C443" s="27"/>
    </row>
    <row r="444">
      <c r="C444" s="27"/>
    </row>
    <row r="445">
      <c r="C445" s="27"/>
    </row>
    <row r="446">
      <c r="C446" s="27"/>
    </row>
    <row r="447">
      <c r="C447" s="27"/>
    </row>
    <row r="448">
      <c r="C448" s="27"/>
    </row>
    <row r="449">
      <c r="C449" s="27"/>
    </row>
    <row r="450">
      <c r="C450" s="27"/>
    </row>
    <row r="451">
      <c r="C451" s="27"/>
    </row>
    <row r="452">
      <c r="C452" s="27"/>
    </row>
    <row r="453">
      <c r="C453" s="27"/>
    </row>
    <row r="454">
      <c r="C454" s="27"/>
    </row>
    <row r="455">
      <c r="C455" s="27"/>
    </row>
    <row r="456">
      <c r="C456" s="27"/>
    </row>
    <row r="457">
      <c r="C457" s="27"/>
    </row>
    <row r="458">
      <c r="C458" s="27"/>
    </row>
    <row r="459">
      <c r="C459" s="27"/>
    </row>
    <row r="460">
      <c r="C460" s="27"/>
    </row>
    <row r="461">
      <c r="C461" s="27"/>
    </row>
    <row r="462">
      <c r="C462" s="27"/>
    </row>
    <row r="463">
      <c r="C463" s="27"/>
    </row>
    <row r="464">
      <c r="C464" s="27"/>
    </row>
    <row r="465">
      <c r="C465" s="27"/>
    </row>
    <row r="466">
      <c r="C466" s="27"/>
    </row>
    <row r="467">
      <c r="C467" s="27"/>
    </row>
    <row r="468">
      <c r="C468" s="27"/>
    </row>
    <row r="469">
      <c r="C469" s="27"/>
    </row>
    <row r="470">
      <c r="C470" s="27"/>
    </row>
    <row r="471">
      <c r="C471" s="27"/>
    </row>
    <row r="472">
      <c r="C472" s="27"/>
    </row>
    <row r="473">
      <c r="C473" s="27"/>
    </row>
    <row r="474">
      <c r="C474" s="27"/>
    </row>
    <row r="475">
      <c r="C475" s="27"/>
    </row>
    <row r="476">
      <c r="C476" s="27"/>
    </row>
    <row r="477">
      <c r="C477" s="27"/>
    </row>
    <row r="478">
      <c r="C478" s="27"/>
    </row>
    <row r="479">
      <c r="C479" s="27"/>
    </row>
    <row r="480">
      <c r="C480" s="27"/>
    </row>
    <row r="481">
      <c r="C481" s="27"/>
    </row>
    <row r="482">
      <c r="C482" s="27"/>
    </row>
    <row r="483">
      <c r="C483" s="27"/>
    </row>
    <row r="484">
      <c r="C484" s="27"/>
    </row>
    <row r="485">
      <c r="C485" s="27"/>
    </row>
    <row r="486">
      <c r="C486" s="27"/>
    </row>
    <row r="487">
      <c r="C487" s="27"/>
    </row>
    <row r="488">
      <c r="C488" s="27"/>
    </row>
    <row r="489">
      <c r="C489" s="27"/>
    </row>
    <row r="490">
      <c r="C490" s="27"/>
    </row>
    <row r="491">
      <c r="C491" s="27"/>
    </row>
    <row r="492">
      <c r="C492" s="27"/>
    </row>
    <row r="493">
      <c r="C493" s="27"/>
    </row>
    <row r="494">
      <c r="C494" s="27"/>
    </row>
    <row r="495">
      <c r="C495" s="27"/>
    </row>
    <row r="496">
      <c r="C496" s="27"/>
    </row>
    <row r="497">
      <c r="C497" s="27"/>
    </row>
    <row r="498">
      <c r="C498" s="27"/>
    </row>
    <row r="499">
      <c r="C499" s="27"/>
    </row>
    <row r="500">
      <c r="C500" s="27"/>
    </row>
    <row r="501">
      <c r="C501" s="27"/>
    </row>
    <row r="502">
      <c r="C502" s="27"/>
    </row>
    <row r="503">
      <c r="C503" s="27"/>
    </row>
    <row r="504">
      <c r="C504" s="27"/>
    </row>
    <row r="505">
      <c r="C505" s="27"/>
    </row>
    <row r="506">
      <c r="C506" s="27"/>
    </row>
    <row r="507">
      <c r="C507" s="27"/>
    </row>
    <row r="508">
      <c r="C508" s="27"/>
    </row>
    <row r="509">
      <c r="C509" s="27"/>
    </row>
    <row r="510">
      <c r="C510" s="27"/>
    </row>
    <row r="511">
      <c r="C511" s="27"/>
    </row>
    <row r="512">
      <c r="C512" s="27"/>
    </row>
    <row r="513">
      <c r="C513" s="27"/>
    </row>
    <row r="514">
      <c r="C514" s="27"/>
    </row>
    <row r="515">
      <c r="C515" s="27"/>
    </row>
    <row r="516">
      <c r="C516" s="27"/>
    </row>
    <row r="517">
      <c r="C517" s="27"/>
    </row>
    <row r="518">
      <c r="C518" s="27"/>
    </row>
    <row r="519">
      <c r="C519" s="27"/>
    </row>
    <row r="520">
      <c r="C520" s="27"/>
    </row>
    <row r="521">
      <c r="C521" s="27"/>
    </row>
    <row r="522">
      <c r="C522" s="27"/>
    </row>
    <row r="523">
      <c r="C523" s="27"/>
    </row>
    <row r="524">
      <c r="C524" s="27"/>
    </row>
    <row r="525">
      <c r="C525" s="27"/>
    </row>
    <row r="526">
      <c r="C526" s="27"/>
    </row>
    <row r="527">
      <c r="C527" s="27"/>
    </row>
    <row r="528">
      <c r="C528" s="27"/>
    </row>
    <row r="529">
      <c r="C529" s="27"/>
    </row>
    <row r="530">
      <c r="C530" s="27"/>
    </row>
    <row r="531">
      <c r="C531" s="27"/>
    </row>
    <row r="532">
      <c r="C532" s="27"/>
    </row>
    <row r="533">
      <c r="C533" s="27"/>
    </row>
    <row r="534">
      <c r="C534" s="27"/>
    </row>
    <row r="535">
      <c r="C535" s="27"/>
    </row>
    <row r="536">
      <c r="C536" s="27"/>
    </row>
    <row r="537">
      <c r="C537" s="27"/>
    </row>
    <row r="538">
      <c r="C538" s="27"/>
    </row>
    <row r="539">
      <c r="C539" s="27"/>
    </row>
    <row r="540">
      <c r="C540" s="27"/>
    </row>
    <row r="541">
      <c r="C541" s="27"/>
    </row>
    <row r="542">
      <c r="C542" s="27"/>
    </row>
    <row r="543">
      <c r="C543" s="27"/>
    </row>
    <row r="544">
      <c r="C544" s="27"/>
    </row>
    <row r="545">
      <c r="C545" s="27"/>
    </row>
    <row r="546">
      <c r="C546" s="27"/>
    </row>
    <row r="547">
      <c r="C547" s="27"/>
    </row>
    <row r="548">
      <c r="C548" s="27"/>
    </row>
    <row r="549">
      <c r="C549" s="27"/>
    </row>
    <row r="550">
      <c r="C550" s="27"/>
    </row>
    <row r="551">
      <c r="C551" s="27"/>
    </row>
    <row r="552">
      <c r="C552" s="27"/>
    </row>
    <row r="553">
      <c r="C553" s="27"/>
    </row>
    <row r="554">
      <c r="C554" s="27"/>
    </row>
    <row r="555">
      <c r="C555" s="27"/>
    </row>
    <row r="556">
      <c r="C556" s="27"/>
    </row>
    <row r="557">
      <c r="C557" s="27"/>
    </row>
    <row r="558">
      <c r="C558" s="27"/>
    </row>
    <row r="559">
      <c r="C559" s="27"/>
    </row>
    <row r="560">
      <c r="C560" s="27"/>
    </row>
    <row r="561">
      <c r="C561" s="27"/>
    </row>
    <row r="562">
      <c r="C562" s="27"/>
    </row>
    <row r="563">
      <c r="C563" s="27"/>
    </row>
    <row r="564">
      <c r="C564" s="27"/>
    </row>
    <row r="565">
      <c r="C565" s="27"/>
    </row>
    <row r="566">
      <c r="C566" s="27"/>
    </row>
    <row r="567">
      <c r="C567" s="27"/>
    </row>
    <row r="568">
      <c r="C568" s="27"/>
    </row>
    <row r="569">
      <c r="C569" s="27"/>
    </row>
    <row r="570">
      <c r="C570" s="27"/>
    </row>
    <row r="571">
      <c r="C571" s="27"/>
    </row>
    <row r="572">
      <c r="C572" s="27"/>
    </row>
    <row r="573">
      <c r="C573" s="27"/>
    </row>
    <row r="574">
      <c r="C574" s="27"/>
    </row>
    <row r="575">
      <c r="C575" s="27"/>
    </row>
    <row r="576">
      <c r="C576" s="27"/>
    </row>
    <row r="577">
      <c r="C577" s="27"/>
    </row>
    <row r="578">
      <c r="C578" s="27"/>
    </row>
    <row r="579">
      <c r="C579" s="27"/>
    </row>
    <row r="580">
      <c r="C580" s="27"/>
    </row>
    <row r="581">
      <c r="C581" s="27"/>
    </row>
    <row r="582">
      <c r="C582" s="27"/>
    </row>
    <row r="583">
      <c r="C583" s="27"/>
    </row>
    <row r="584">
      <c r="C584" s="27"/>
    </row>
    <row r="585">
      <c r="C585" s="27"/>
    </row>
    <row r="586">
      <c r="C586" s="27"/>
    </row>
    <row r="587">
      <c r="C587" s="27"/>
    </row>
    <row r="588">
      <c r="C588" s="27"/>
    </row>
    <row r="589">
      <c r="C589" s="27"/>
    </row>
    <row r="590">
      <c r="C590" s="27"/>
    </row>
    <row r="591">
      <c r="C591" s="27"/>
    </row>
    <row r="592">
      <c r="C592" s="27"/>
    </row>
    <row r="593">
      <c r="C593" s="27"/>
    </row>
    <row r="594">
      <c r="C594" s="27"/>
    </row>
    <row r="595">
      <c r="C595" s="27"/>
    </row>
    <row r="596">
      <c r="C596" s="27"/>
    </row>
    <row r="597">
      <c r="C597" s="27"/>
    </row>
    <row r="598">
      <c r="C598" s="27"/>
    </row>
    <row r="599">
      <c r="C599" s="27"/>
    </row>
    <row r="600">
      <c r="C600" s="27"/>
    </row>
    <row r="601">
      <c r="C601" s="27"/>
    </row>
    <row r="602">
      <c r="C602" s="27"/>
    </row>
    <row r="603">
      <c r="C603" s="27"/>
    </row>
    <row r="604">
      <c r="C604" s="27"/>
    </row>
    <row r="605">
      <c r="C605" s="27"/>
    </row>
    <row r="606">
      <c r="C606" s="27"/>
    </row>
    <row r="607">
      <c r="C607" s="27"/>
    </row>
    <row r="608">
      <c r="C608" s="27"/>
    </row>
    <row r="609">
      <c r="C609" s="27"/>
    </row>
    <row r="610">
      <c r="C610" s="27"/>
    </row>
    <row r="611">
      <c r="C611" s="27"/>
    </row>
    <row r="612">
      <c r="C612" s="27"/>
    </row>
    <row r="613">
      <c r="C613" s="27"/>
    </row>
    <row r="614">
      <c r="C614" s="27"/>
    </row>
    <row r="615">
      <c r="C615" s="27"/>
    </row>
    <row r="616">
      <c r="C616" s="27"/>
    </row>
    <row r="617">
      <c r="C617" s="27"/>
    </row>
    <row r="618">
      <c r="C618" s="27"/>
    </row>
    <row r="619">
      <c r="C619" s="27"/>
    </row>
    <row r="620">
      <c r="C620" s="27"/>
    </row>
    <row r="621">
      <c r="C621" s="27"/>
    </row>
    <row r="622">
      <c r="C622" s="27"/>
    </row>
    <row r="623">
      <c r="C623" s="27"/>
    </row>
    <row r="624">
      <c r="C624" s="27"/>
    </row>
    <row r="625">
      <c r="C625" s="27"/>
    </row>
    <row r="626">
      <c r="C626" s="27"/>
    </row>
    <row r="627">
      <c r="C627" s="27"/>
    </row>
    <row r="628">
      <c r="C628" s="27"/>
    </row>
    <row r="629">
      <c r="C629" s="27"/>
    </row>
    <row r="630">
      <c r="C630" s="27"/>
    </row>
    <row r="631">
      <c r="C631" s="27"/>
    </row>
    <row r="632">
      <c r="C632" s="27"/>
    </row>
    <row r="633">
      <c r="C633" s="27"/>
    </row>
    <row r="634">
      <c r="C634" s="27"/>
    </row>
    <row r="635">
      <c r="C635" s="27"/>
    </row>
    <row r="636">
      <c r="C636" s="27"/>
    </row>
    <row r="637">
      <c r="C637" s="27"/>
    </row>
    <row r="638">
      <c r="C638" s="27"/>
    </row>
    <row r="639">
      <c r="C639" s="27"/>
    </row>
    <row r="640">
      <c r="C640" s="27"/>
    </row>
    <row r="641">
      <c r="C641" s="27"/>
    </row>
    <row r="642">
      <c r="C642" s="27"/>
    </row>
    <row r="643">
      <c r="C643" s="27"/>
    </row>
    <row r="644">
      <c r="C644" s="27"/>
    </row>
    <row r="645">
      <c r="C645" s="27"/>
    </row>
    <row r="646">
      <c r="C646" s="27"/>
    </row>
    <row r="647">
      <c r="C647" s="27"/>
    </row>
    <row r="648">
      <c r="C648" s="27"/>
    </row>
    <row r="649">
      <c r="C649" s="27"/>
    </row>
    <row r="650">
      <c r="C650" s="27"/>
    </row>
    <row r="651">
      <c r="C651" s="27"/>
    </row>
    <row r="652">
      <c r="C652" s="27"/>
    </row>
    <row r="653">
      <c r="C653" s="27"/>
    </row>
    <row r="654">
      <c r="C654" s="27"/>
    </row>
    <row r="655">
      <c r="C655" s="27"/>
    </row>
    <row r="656">
      <c r="C656" s="27"/>
    </row>
    <row r="657">
      <c r="C657" s="27"/>
    </row>
    <row r="658">
      <c r="C658" s="27"/>
    </row>
    <row r="659">
      <c r="C659" s="27"/>
    </row>
    <row r="660">
      <c r="C660" s="27"/>
    </row>
    <row r="661">
      <c r="C661" s="27"/>
    </row>
    <row r="662">
      <c r="C662" s="27"/>
    </row>
    <row r="663">
      <c r="C663" s="27"/>
    </row>
    <row r="664">
      <c r="C664" s="27"/>
    </row>
    <row r="665">
      <c r="C665" s="27"/>
    </row>
    <row r="666">
      <c r="C666" s="27"/>
    </row>
    <row r="667">
      <c r="C667" s="27"/>
    </row>
    <row r="668">
      <c r="C668" s="27"/>
    </row>
    <row r="669">
      <c r="C669" s="27"/>
    </row>
    <row r="670">
      <c r="C670" s="27"/>
    </row>
    <row r="671">
      <c r="C671" s="27"/>
    </row>
    <row r="672">
      <c r="C672" s="27"/>
    </row>
    <row r="673">
      <c r="C673" s="27"/>
    </row>
    <row r="674">
      <c r="C674" s="27"/>
    </row>
    <row r="675">
      <c r="C675" s="27"/>
    </row>
    <row r="676">
      <c r="C676" s="27"/>
    </row>
    <row r="677">
      <c r="C677" s="27"/>
    </row>
    <row r="678">
      <c r="C678" s="27"/>
    </row>
    <row r="679">
      <c r="C679" s="27"/>
    </row>
    <row r="680">
      <c r="C680" s="27"/>
    </row>
    <row r="681">
      <c r="C681" s="27"/>
    </row>
    <row r="682">
      <c r="C682" s="27"/>
    </row>
    <row r="683">
      <c r="C683" s="27"/>
    </row>
    <row r="684">
      <c r="C684" s="27"/>
    </row>
    <row r="685">
      <c r="C685" s="27"/>
    </row>
    <row r="686">
      <c r="C686" s="27"/>
    </row>
    <row r="687">
      <c r="C687" s="27"/>
    </row>
    <row r="688">
      <c r="C688" s="27"/>
    </row>
    <row r="689">
      <c r="C689" s="27"/>
    </row>
    <row r="690">
      <c r="C690" s="27"/>
    </row>
    <row r="691">
      <c r="C691" s="27"/>
    </row>
    <row r="692">
      <c r="C692" s="27"/>
    </row>
    <row r="693">
      <c r="C693" s="27"/>
    </row>
    <row r="694">
      <c r="C694" s="27"/>
    </row>
    <row r="695">
      <c r="C695" s="27"/>
    </row>
    <row r="696">
      <c r="C696" s="27"/>
    </row>
    <row r="697">
      <c r="C697" s="27"/>
    </row>
    <row r="698">
      <c r="C698" s="27"/>
    </row>
    <row r="699">
      <c r="C699" s="27"/>
    </row>
    <row r="700">
      <c r="C700" s="27"/>
    </row>
    <row r="701">
      <c r="C701" s="27"/>
    </row>
    <row r="702">
      <c r="C702" s="27"/>
    </row>
    <row r="703">
      <c r="C703" s="27"/>
    </row>
    <row r="704">
      <c r="C704" s="27"/>
    </row>
    <row r="705">
      <c r="C705" s="27"/>
    </row>
    <row r="706">
      <c r="C706" s="27"/>
    </row>
    <row r="707">
      <c r="C707" s="27"/>
    </row>
    <row r="708">
      <c r="C708" s="27"/>
    </row>
    <row r="709">
      <c r="C709" s="27"/>
    </row>
    <row r="710">
      <c r="C710" s="27"/>
    </row>
    <row r="711">
      <c r="C711" s="27"/>
    </row>
    <row r="712">
      <c r="C712" s="27"/>
    </row>
    <row r="713">
      <c r="C713" s="27"/>
    </row>
    <row r="714">
      <c r="C714" s="27"/>
    </row>
    <row r="715">
      <c r="C715" s="27"/>
    </row>
    <row r="716">
      <c r="C716" s="27"/>
    </row>
    <row r="717">
      <c r="C717" s="27"/>
    </row>
    <row r="718">
      <c r="C718" s="27"/>
    </row>
    <row r="719">
      <c r="C719" s="27"/>
    </row>
    <row r="720">
      <c r="C720" s="27"/>
    </row>
    <row r="721">
      <c r="C721" s="27"/>
    </row>
    <row r="722">
      <c r="C722" s="27"/>
    </row>
    <row r="723">
      <c r="C723" s="27"/>
    </row>
    <row r="724">
      <c r="C724" s="27"/>
    </row>
    <row r="725">
      <c r="C725" s="27"/>
    </row>
    <row r="726">
      <c r="C726" s="27"/>
    </row>
    <row r="727">
      <c r="C727" s="27"/>
    </row>
    <row r="728">
      <c r="C728" s="27"/>
    </row>
    <row r="729">
      <c r="C729" s="27"/>
    </row>
    <row r="730">
      <c r="C730" s="27"/>
    </row>
    <row r="731">
      <c r="C731" s="27"/>
    </row>
    <row r="732">
      <c r="C732" s="27"/>
    </row>
    <row r="733">
      <c r="C733" s="27"/>
    </row>
    <row r="734">
      <c r="C734" s="27"/>
    </row>
    <row r="735">
      <c r="C735" s="27"/>
    </row>
    <row r="736">
      <c r="C736" s="27"/>
    </row>
    <row r="737">
      <c r="C737" s="27"/>
    </row>
    <row r="738">
      <c r="C738" s="27"/>
    </row>
    <row r="739">
      <c r="C739" s="27"/>
    </row>
    <row r="740">
      <c r="C740" s="27"/>
    </row>
    <row r="741">
      <c r="C741" s="27"/>
    </row>
    <row r="742">
      <c r="C742" s="27"/>
    </row>
    <row r="743">
      <c r="C743" s="27"/>
    </row>
    <row r="744">
      <c r="C744" s="27"/>
    </row>
    <row r="745">
      <c r="C745" s="27"/>
    </row>
    <row r="746">
      <c r="C746" s="27"/>
    </row>
    <row r="747">
      <c r="C747" s="27"/>
    </row>
    <row r="748">
      <c r="C748" s="27"/>
    </row>
    <row r="749">
      <c r="C749" s="27"/>
    </row>
    <row r="750">
      <c r="C750" s="27"/>
    </row>
    <row r="751">
      <c r="C751" s="27"/>
    </row>
    <row r="752">
      <c r="C752" s="27"/>
    </row>
    <row r="753">
      <c r="C753" s="27"/>
    </row>
    <row r="754">
      <c r="C754" s="27"/>
    </row>
    <row r="755">
      <c r="C755" s="27"/>
    </row>
    <row r="756">
      <c r="C756" s="27"/>
    </row>
    <row r="757">
      <c r="C757" s="27"/>
    </row>
    <row r="758">
      <c r="C758" s="27"/>
    </row>
    <row r="759">
      <c r="C759" s="27"/>
    </row>
    <row r="760">
      <c r="C760" s="27"/>
    </row>
    <row r="761">
      <c r="C761" s="27"/>
    </row>
    <row r="762">
      <c r="C762" s="27"/>
    </row>
    <row r="763">
      <c r="C763" s="27"/>
    </row>
    <row r="764">
      <c r="C764" s="27"/>
    </row>
    <row r="765">
      <c r="C765" s="27"/>
    </row>
    <row r="766">
      <c r="C766" s="27"/>
    </row>
    <row r="767">
      <c r="C767" s="27"/>
    </row>
    <row r="768">
      <c r="C768" s="27"/>
    </row>
    <row r="769">
      <c r="C769" s="27"/>
    </row>
    <row r="770">
      <c r="C770" s="27"/>
    </row>
    <row r="771">
      <c r="C771" s="27"/>
    </row>
    <row r="772">
      <c r="C772" s="27"/>
    </row>
    <row r="773">
      <c r="C773" s="27"/>
    </row>
    <row r="774">
      <c r="C774" s="27"/>
    </row>
    <row r="775">
      <c r="C775" s="27"/>
    </row>
    <row r="776">
      <c r="C776" s="27"/>
    </row>
    <row r="777">
      <c r="C777" s="27"/>
    </row>
    <row r="778">
      <c r="C778" s="27"/>
    </row>
    <row r="779">
      <c r="C779" s="27"/>
    </row>
    <row r="780">
      <c r="C780" s="27"/>
    </row>
    <row r="781">
      <c r="C781" s="27"/>
    </row>
    <row r="782">
      <c r="C782" s="27"/>
    </row>
    <row r="783">
      <c r="C783" s="27"/>
    </row>
    <row r="784">
      <c r="C784" s="27"/>
    </row>
    <row r="785">
      <c r="C785" s="27"/>
    </row>
    <row r="786">
      <c r="C786" s="27"/>
    </row>
    <row r="787">
      <c r="C787" s="27"/>
    </row>
    <row r="788">
      <c r="C788" s="27"/>
    </row>
    <row r="789">
      <c r="C789" s="27"/>
    </row>
    <row r="790">
      <c r="C790" s="27"/>
    </row>
    <row r="791">
      <c r="C791" s="27"/>
    </row>
    <row r="792">
      <c r="C792" s="27"/>
    </row>
    <row r="793">
      <c r="C793" s="27"/>
    </row>
    <row r="794">
      <c r="C794" s="27"/>
    </row>
    <row r="795">
      <c r="C795" s="27"/>
    </row>
    <row r="796">
      <c r="C796" s="27"/>
    </row>
    <row r="797">
      <c r="C797" s="27"/>
    </row>
    <row r="798">
      <c r="C798" s="27"/>
    </row>
    <row r="799">
      <c r="C799" s="27"/>
    </row>
    <row r="800">
      <c r="C800" s="27"/>
    </row>
    <row r="801">
      <c r="C801" s="27"/>
    </row>
    <row r="802">
      <c r="C802" s="27"/>
    </row>
    <row r="803">
      <c r="C803" s="27"/>
    </row>
    <row r="804">
      <c r="C804" s="27"/>
    </row>
    <row r="805">
      <c r="C805" s="27"/>
    </row>
    <row r="806">
      <c r="C806" s="27"/>
    </row>
    <row r="807">
      <c r="C807" s="27"/>
    </row>
    <row r="808">
      <c r="C808" s="27"/>
    </row>
    <row r="809">
      <c r="C809" s="27"/>
    </row>
    <row r="810">
      <c r="C810" s="27"/>
    </row>
    <row r="811">
      <c r="C811" s="27"/>
    </row>
    <row r="812">
      <c r="C812" s="27"/>
    </row>
    <row r="813">
      <c r="C813" s="27"/>
    </row>
    <row r="814">
      <c r="C814" s="27"/>
    </row>
    <row r="815">
      <c r="C815" s="27"/>
    </row>
    <row r="816">
      <c r="C816" s="27"/>
    </row>
    <row r="817">
      <c r="C817" s="27"/>
    </row>
    <row r="818">
      <c r="C818" s="27"/>
    </row>
    <row r="819">
      <c r="C819" s="27"/>
    </row>
    <row r="820">
      <c r="C820" s="27"/>
    </row>
    <row r="821">
      <c r="C821" s="27"/>
    </row>
    <row r="822">
      <c r="C822" s="27"/>
    </row>
    <row r="823">
      <c r="C823" s="27"/>
    </row>
    <row r="824">
      <c r="C824" s="27"/>
    </row>
    <row r="825">
      <c r="C825" s="27"/>
    </row>
    <row r="826">
      <c r="C826" s="27"/>
    </row>
    <row r="827">
      <c r="C827" s="27"/>
    </row>
    <row r="828">
      <c r="C828" s="27"/>
    </row>
    <row r="829">
      <c r="C829" s="27"/>
    </row>
    <row r="830">
      <c r="C830" s="27"/>
    </row>
    <row r="831">
      <c r="C831" s="27"/>
    </row>
    <row r="832">
      <c r="C832" s="27"/>
    </row>
    <row r="833">
      <c r="C833" s="27"/>
    </row>
    <row r="834">
      <c r="C834" s="27"/>
    </row>
    <row r="835">
      <c r="C835" s="27"/>
    </row>
    <row r="836">
      <c r="C836" s="27"/>
    </row>
    <row r="837">
      <c r="C837" s="27"/>
    </row>
    <row r="838">
      <c r="C838" s="27"/>
    </row>
    <row r="839">
      <c r="C839" s="27"/>
    </row>
    <row r="840">
      <c r="C840" s="27"/>
    </row>
    <row r="841">
      <c r="C841" s="27"/>
    </row>
    <row r="842">
      <c r="C842" s="27"/>
    </row>
    <row r="843">
      <c r="C843" s="27"/>
    </row>
    <row r="844">
      <c r="C844" s="27"/>
    </row>
    <row r="845">
      <c r="C845" s="27"/>
    </row>
    <row r="846">
      <c r="C846" s="27"/>
    </row>
    <row r="847">
      <c r="C847" s="27"/>
    </row>
    <row r="848">
      <c r="C848" s="27"/>
    </row>
    <row r="849">
      <c r="C849" s="27"/>
    </row>
    <row r="850">
      <c r="C850" s="27"/>
    </row>
    <row r="851">
      <c r="C851" s="27"/>
    </row>
    <row r="852">
      <c r="C852" s="27"/>
    </row>
    <row r="853">
      <c r="C853" s="27"/>
    </row>
    <row r="854">
      <c r="C854" s="27"/>
    </row>
    <row r="855">
      <c r="C855" s="27"/>
    </row>
    <row r="856">
      <c r="C856" s="27"/>
    </row>
    <row r="857">
      <c r="C857" s="27"/>
    </row>
    <row r="858">
      <c r="C858" s="27"/>
    </row>
    <row r="859">
      <c r="C859" s="27"/>
    </row>
    <row r="860">
      <c r="C860" s="27"/>
    </row>
    <row r="861">
      <c r="C861" s="27"/>
    </row>
    <row r="862">
      <c r="C862" s="27"/>
    </row>
    <row r="863">
      <c r="C863" s="27"/>
    </row>
    <row r="864">
      <c r="C864" s="27"/>
    </row>
    <row r="865">
      <c r="C865" s="27"/>
    </row>
    <row r="866">
      <c r="C866" s="27"/>
    </row>
    <row r="867">
      <c r="C867" s="27"/>
    </row>
    <row r="868">
      <c r="C868" s="27"/>
    </row>
    <row r="869">
      <c r="C869" s="27"/>
    </row>
    <row r="870">
      <c r="C870" s="27"/>
    </row>
    <row r="871">
      <c r="C871" s="27"/>
    </row>
    <row r="872">
      <c r="C872" s="27"/>
    </row>
    <row r="873">
      <c r="C873" s="27"/>
    </row>
    <row r="874">
      <c r="C874" s="27"/>
    </row>
    <row r="875">
      <c r="C875" s="27"/>
    </row>
    <row r="876">
      <c r="C876" s="27"/>
    </row>
    <row r="877">
      <c r="C877" s="27"/>
    </row>
    <row r="878">
      <c r="C878" s="27"/>
    </row>
    <row r="879">
      <c r="C879" s="27"/>
    </row>
    <row r="880">
      <c r="C880" s="27"/>
    </row>
    <row r="881">
      <c r="C881" s="27"/>
    </row>
    <row r="882">
      <c r="C882" s="27"/>
    </row>
    <row r="883">
      <c r="C883" s="27"/>
    </row>
    <row r="884">
      <c r="C884" s="27"/>
    </row>
    <row r="885">
      <c r="C885" s="27"/>
    </row>
    <row r="886">
      <c r="C886" s="27"/>
    </row>
    <row r="887">
      <c r="C887" s="27"/>
    </row>
    <row r="888">
      <c r="C888" s="27"/>
    </row>
    <row r="889">
      <c r="C889" s="27"/>
    </row>
    <row r="890">
      <c r="C890" s="27"/>
    </row>
    <row r="891">
      <c r="C891" s="27"/>
    </row>
    <row r="892">
      <c r="C892" s="27"/>
    </row>
    <row r="893">
      <c r="C893" s="27"/>
    </row>
    <row r="894">
      <c r="C894" s="27"/>
    </row>
    <row r="895">
      <c r="C895" s="27"/>
    </row>
    <row r="896">
      <c r="C896" s="27"/>
    </row>
    <row r="897">
      <c r="C897" s="27"/>
    </row>
    <row r="898">
      <c r="C898" s="27"/>
    </row>
    <row r="899">
      <c r="C899" s="27"/>
    </row>
    <row r="900">
      <c r="C900" s="27"/>
    </row>
    <row r="901">
      <c r="C901" s="27"/>
    </row>
    <row r="902">
      <c r="C902" s="27"/>
    </row>
    <row r="903">
      <c r="C903" s="27"/>
    </row>
    <row r="904">
      <c r="C904" s="27"/>
    </row>
    <row r="905">
      <c r="C905" s="27"/>
    </row>
    <row r="906">
      <c r="C906" s="27"/>
    </row>
    <row r="907">
      <c r="C907" s="27"/>
    </row>
    <row r="908">
      <c r="C908" s="27"/>
    </row>
    <row r="909">
      <c r="C909" s="27"/>
    </row>
    <row r="910">
      <c r="C910" s="27"/>
    </row>
    <row r="911">
      <c r="C911" s="27"/>
    </row>
    <row r="912">
      <c r="C912" s="27"/>
    </row>
    <row r="913">
      <c r="C913" s="27"/>
    </row>
    <row r="914">
      <c r="C914" s="27"/>
    </row>
    <row r="915">
      <c r="C915" s="27"/>
    </row>
    <row r="916">
      <c r="C916" s="27"/>
    </row>
    <row r="917">
      <c r="C917" s="27"/>
    </row>
    <row r="918">
      <c r="C918" s="27"/>
    </row>
    <row r="919">
      <c r="C919" s="27"/>
    </row>
    <row r="920">
      <c r="C920" s="27"/>
    </row>
    <row r="921">
      <c r="C921" s="27"/>
    </row>
    <row r="922">
      <c r="C922" s="27"/>
    </row>
    <row r="923">
      <c r="C923" s="27"/>
    </row>
    <row r="924">
      <c r="C924" s="27"/>
    </row>
    <row r="925">
      <c r="C925" s="27"/>
    </row>
    <row r="926">
      <c r="C926" s="27"/>
    </row>
    <row r="927">
      <c r="C927" s="27"/>
    </row>
    <row r="928">
      <c r="C928" s="27"/>
    </row>
    <row r="929">
      <c r="C929" s="27"/>
    </row>
    <row r="930">
      <c r="C930" s="27"/>
    </row>
    <row r="931">
      <c r="C931" s="27"/>
    </row>
    <row r="932">
      <c r="C932" s="27"/>
    </row>
    <row r="933">
      <c r="C933" s="27"/>
    </row>
    <row r="934">
      <c r="C934" s="27"/>
    </row>
    <row r="935">
      <c r="C935" s="27"/>
    </row>
    <row r="936">
      <c r="C936" s="27"/>
    </row>
    <row r="937">
      <c r="C937" s="27"/>
    </row>
    <row r="938">
      <c r="C938" s="27"/>
    </row>
    <row r="939">
      <c r="C939" s="27"/>
    </row>
    <row r="940">
      <c r="C940" s="27"/>
    </row>
    <row r="941">
      <c r="C941" s="27"/>
    </row>
    <row r="942">
      <c r="C942" s="27"/>
    </row>
    <row r="943">
      <c r="C943" s="27"/>
    </row>
    <row r="944">
      <c r="C944" s="27"/>
    </row>
    <row r="945">
      <c r="C945" s="27"/>
    </row>
    <row r="946">
      <c r="C946" s="27"/>
    </row>
    <row r="947">
      <c r="C947" s="27"/>
    </row>
    <row r="948">
      <c r="C948" s="27"/>
    </row>
    <row r="949">
      <c r="C949" s="27"/>
    </row>
    <row r="950">
      <c r="C950" s="27"/>
    </row>
    <row r="951">
      <c r="C951" s="27"/>
    </row>
    <row r="952">
      <c r="C952" s="27"/>
    </row>
    <row r="953">
      <c r="C953" s="27"/>
    </row>
    <row r="954">
      <c r="C954" s="27"/>
    </row>
    <row r="955">
      <c r="C955" s="27"/>
    </row>
    <row r="956">
      <c r="C956" s="27"/>
    </row>
    <row r="957">
      <c r="C957" s="27"/>
    </row>
    <row r="958">
      <c r="C958" s="27"/>
    </row>
    <row r="959">
      <c r="C959" s="27"/>
    </row>
    <row r="960">
      <c r="C960" s="27"/>
    </row>
    <row r="961">
      <c r="C961" s="27"/>
    </row>
    <row r="962">
      <c r="C962" s="27"/>
    </row>
    <row r="963">
      <c r="C963" s="27"/>
    </row>
    <row r="964">
      <c r="C964" s="27"/>
    </row>
    <row r="965">
      <c r="C965" s="27"/>
    </row>
    <row r="966">
      <c r="C966" s="27"/>
    </row>
    <row r="967">
      <c r="C967" s="27"/>
    </row>
    <row r="968">
      <c r="C968" s="27"/>
    </row>
    <row r="969">
      <c r="C969" s="27"/>
    </row>
    <row r="970">
      <c r="C970" s="27"/>
    </row>
    <row r="971">
      <c r="C971" s="27"/>
    </row>
    <row r="972">
      <c r="C972" s="27"/>
    </row>
    <row r="973">
      <c r="C973" s="27"/>
    </row>
    <row r="974">
      <c r="C974" s="27"/>
    </row>
    <row r="975">
      <c r="C975" s="27"/>
    </row>
    <row r="976">
      <c r="C976" s="27"/>
    </row>
    <row r="977">
      <c r="C977" s="27"/>
    </row>
    <row r="978">
      <c r="C978" s="27"/>
    </row>
    <row r="979">
      <c r="C979" s="27"/>
    </row>
    <row r="980">
      <c r="C980" s="27"/>
    </row>
    <row r="981">
      <c r="C981" s="27"/>
    </row>
    <row r="982">
      <c r="C982" s="27"/>
    </row>
    <row r="983">
      <c r="C983" s="27"/>
    </row>
    <row r="984">
      <c r="C984" s="27"/>
    </row>
    <row r="985">
      <c r="C985" s="27"/>
    </row>
    <row r="986">
      <c r="C986" s="27"/>
    </row>
    <row r="987">
      <c r="C987" s="27"/>
    </row>
    <row r="988">
      <c r="C988" s="27"/>
    </row>
    <row r="989">
      <c r="C989" s="27"/>
    </row>
    <row r="990">
      <c r="C990" s="27"/>
    </row>
    <row r="991">
      <c r="C991" s="27"/>
    </row>
    <row r="992">
      <c r="C992" s="27"/>
    </row>
    <row r="993">
      <c r="C993" s="27"/>
    </row>
    <row r="994">
      <c r="C994" s="27"/>
    </row>
    <row r="995">
      <c r="C995" s="27"/>
    </row>
    <row r="996">
      <c r="C996" s="27"/>
    </row>
    <row r="997">
      <c r="C997" s="27"/>
    </row>
    <row r="998">
      <c r="C998" s="27"/>
    </row>
    <row r="999">
      <c r="C999" s="27"/>
    </row>
    <row r="1000">
      <c r="C1000" s="27"/>
    </row>
    <row r="1001">
      <c r="C1001" s="27"/>
    </row>
    <row r="1002">
      <c r="C1002" s="27"/>
    </row>
    <row r="1003">
      <c r="C1003" s="2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20.88"/>
  </cols>
  <sheetData>
    <row r="1" ht="45.0" customHeight="1">
      <c r="A1" s="8" t="s">
        <v>118</v>
      </c>
      <c r="B1" s="28" t="s">
        <v>119</v>
      </c>
      <c r="C1" s="28" t="s">
        <v>110</v>
      </c>
      <c r="D1" s="28" t="s">
        <v>111</v>
      </c>
      <c r="E1" s="28" t="s">
        <v>112</v>
      </c>
      <c r="F1" s="28" t="s">
        <v>120</v>
      </c>
      <c r="G1" s="28" t="s">
        <v>114</v>
      </c>
      <c r="H1" s="28" t="s">
        <v>115</v>
      </c>
      <c r="I1" s="28" t="s">
        <v>116</v>
      </c>
      <c r="J1" s="28" t="s">
        <v>117</v>
      </c>
    </row>
    <row r="2">
      <c r="A2" s="29">
        <v>45848.0</v>
      </c>
      <c r="B2" s="28" t="s">
        <v>121</v>
      </c>
      <c r="C2" s="30">
        <v>50.0</v>
      </c>
      <c r="D2" s="30">
        <v>15.0</v>
      </c>
      <c r="E2" s="30">
        <v>15.0</v>
      </c>
      <c r="F2" s="30">
        <v>15.0</v>
      </c>
      <c r="G2" s="30">
        <v>7.0</v>
      </c>
      <c r="H2" s="30"/>
      <c r="I2" s="30">
        <v>5.0</v>
      </c>
      <c r="J2" s="30">
        <v>10.0</v>
      </c>
    </row>
    <row r="3">
      <c r="A3" s="29">
        <v>45848.0</v>
      </c>
      <c r="B3" s="28" t="s">
        <v>122</v>
      </c>
      <c r="C3" s="30">
        <v>60.0</v>
      </c>
      <c r="D3" s="30">
        <v>15.0</v>
      </c>
      <c r="E3" s="30">
        <v>15.0</v>
      </c>
      <c r="F3" s="30">
        <v>10.0</v>
      </c>
      <c r="G3" s="30">
        <v>7.0</v>
      </c>
      <c r="H3" s="30"/>
      <c r="I3" s="30">
        <v>5.0</v>
      </c>
      <c r="J3" s="30">
        <v>10.0</v>
      </c>
    </row>
    <row r="4">
      <c r="A4" s="29">
        <v>45848.0</v>
      </c>
      <c r="B4" s="28" t="s">
        <v>123</v>
      </c>
      <c r="C4" s="30"/>
      <c r="D4" s="30"/>
      <c r="E4" s="30">
        <v>21.0</v>
      </c>
      <c r="F4" s="30">
        <v>48.0</v>
      </c>
      <c r="G4" s="30">
        <v>32.0</v>
      </c>
      <c r="H4" s="30">
        <v>10.0</v>
      </c>
      <c r="I4" s="30">
        <v>9.0</v>
      </c>
      <c r="J4" s="30"/>
    </row>
    <row r="5">
      <c r="A5" s="29">
        <v>45848.0</v>
      </c>
      <c r="B5" s="28" t="s">
        <v>124</v>
      </c>
      <c r="C5" s="30"/>
      <c r="D5" s="30"/>
      <c r="E5" s="30">
        <v>15.0</v>
      </c>
      <c r="F5" s="30">
        <v>49.0</v>
      </c>
      <c r="G5" s="30">
        <v>30.0</v>
      </c>
      <c r="H5" s="30"/>
      <c r="I5" s="30">
        <v>9.0</v>
      </c>
      <c r="J5" s="30"/>
      <c r="L5" s="8" t="s">
        <v>125</v>
      </c>
    </row>
    <row r="6">
      <c r="A6" s="29">
        <v>45848.0</v>
      </c>
      <c r="B6" s="28" t="s">
        <v>126</v>
      </c>
      <c r="C6" s="31"/>
      <c r="D6" s="31"/>
      <c r="E6" s="31"/>
      <c r="F6" s="30">
        <v>9.0</v>
      </c>
      <c r="G6" s="30">
        <v>32.0</v>
      </c>
      <c r="H6" s="30">
        <v>3.0</v>
      </c>
      <c r="I6" s="30">
        <v>6.0</v>
      </c>
      <c r="J6" s="32"/>
      <c r="K6" s="8"/>
      <c r="L6" s="8" t="s">
        <v>127</v>
      </c>
    </row>
    <row r="7">
      <c r="A7" s="29">
        <v>45848.0</v>
      </c>
      <c r="B7" s="28" t="s">
        <v>128</v>
      </c>
      <c r="C7" s="30">
        <v>40.0</v>
      </c>
      <c r="D7" s="31"/>
      <c r="E7" s="31"/>
      <c r="F7" s="30">
        <v>23.0</v>
      </c>
      <c r="G7" s="30">
        <v>32.0</v>
      </c>
      <c r="H7" s="30">
        <v>5.0</v>
      </c>
      <c r="I7" s="30">
        <v>6.0</v>
      </c>
      <c r="J7" s="30">
        <v>9.0</v>
      </c>
      <c r="K7" s="33" t="s">
        <v>129</v>
      </c>
      <c r="L7" s="34">
        <f>sum(C2:J5)+sum(G6:G7)</f>
        <v>526</v>
      </c>
    </row>
    <row r="8">
      <c r="A8" s="29">
        <v>45883.0</v>
      </c>
      <c r="B8" s="28" t="s">
        <v>130</v>
      </c>
      <c r="C8" s="30">
        <v>25.0</v>
      </c>
      <c r="D8" s="30">
        <v>13.0</v>
      </c>
      <c r="E8" s="30">
        <v>9.0</v>
      </c>
      <c r="F8" s="30">
        <v>15.0</v>
      </c>
      <c r="G8" s="30">
        <v>6.0</v>
      </c>
      <c r="H8" s="30"/>
      <c r="I8" s="30">
        <v>6.0</v>
      </c>
      <c r="J8" s="30">
        <v>9.0</v>
      </c>
      <c r="K8" s="8" t="s">
        <v>131</v>
      </c>
    </row>
    <row r="9">
      <c r="A9" s="29">
        <v>45883.0</v>
      </c>
      <c r="B9" s="28" t="s">
        <v>132</v>
      </c>
      <c r="C9" s="30">
        <v>25.0</v>
      </c>
      <c r="D9" s="30">
        <v>25.0</v>
      </c>
      <c r="E9" s="30">
        <v>10.0</v>
      </c>
      <c r="F9" s="30">
        <v>15.0</v>
      </c>
      <c r="G9" s="30">
        <v>10.0</v>
      </c>
      <c r="H9" s="30"/>
      <c r="I9" s="30">
        <v>6.0</v>
      </c>
      <c r="J9" s="30">
        <v>6.0</v>
      </c>
      <c r="K9" s="23">
        <f>sum(C2:J3)+sum(C8:J9)</f>
        <v>419</v>
      </c>
      <c r="L9" s="8" t="s">
        <v>133</v>
      </c>
    </row>
    <row r="10">
      <c r="A10" s="29">
        <v>45911.0</v>
      </c>
      <c r="B10" s="28" t="s">
        <v>134</v>
      </c>
      <c r="C10" s="28">
        <v>22.0</v>
      </c>
      <c r="D10" s="28">
        <v>24.0</v>
      </c>
      <c r="E10" s="28">
        <v>5.0</v>
      </c>
      <c r="F10" s="35"/>
      <c r="G10" s="28">
        <v>25.0</v>
      </c>
      <c r="H10" s="35"/>
      <c r="I10" s="28">
        <v>8.0</v>
      </c>
      <c r="J10" s="28">
        <v>1.0</v>
      </c>
      <c r="K10" s="8" t="s">
        <v>135</v>
      </c>
      <c r="L10" s="34">
        <f>sum(C6:F9)+sum(G8:G9)+sum(H6:J9)</f>
        <v>281</v>
      </c>
    </row>
    <row r="11">
      <c r="A11" s="29">
        <v>45911.0</v>
      </c>
      <c r="B11" s="28" t="s">
        <v>136</v>
      </c>
      <c r="C11" s="28">
        <v>24.0</v>
      </c>
      <c r="D11" s="28">
        <v>24.0</v>
      </c>
      <c r="E11" s="35"/>
      <c r="F11" s="35"/>
      <c r="G11" s="28">
        <v>24.0</v>
      </c>
      <c r="H11" s="35"/>
      <c r="I11" s="28">
        <v>3.0</v>
      </c>
      <c r="J11" s="28">
        <v>9.0</v>
      </c>
      <c r="K11" s="23">
        <f>sum(C4:J5)+sum(C10:J11)+sum(C7:J7)</f>
        <v>507</v>
      </c>
    </row>
    <row r="12">
      <c r="A12" s="29">
        <v>45911.0</v>
      </c>
      <c r="B12" s="28" t="s">
        <v>137</v>
      </c>
      <c r="C12" s="28">
        <v>20.0</v>
      </c>
      <c r="D12" s="28">
        <v>23.0</v>
      </c>
      <c r="E12" s="28">
        <v>7.0</v>
      </c>
      <c r="F12" s="35"/>
      <c r="G12" s="28">
        <v>25.0</v>
      </c>
      <c r="H12" s="35"/>
      <c r="I12" s="35"/>
      <c r="J12" s="28">
        <v>9.0</v>
      </c>
      <c r="K12" s="8" t="s">
        <v>138</v>
      </c>
      <c r="L12" s="8" t="s">
        <v>139</v>
      </c>
    </row>
    <row r="13">
      <c r="A13" s="29">
        <v>45911.0</v>
      </c>
      <c r="B13" s="28" t="s">
        <v>140</v>
      </c>
      <c r="C13" s="28">
        <v>24.0</v>
      </c>
      <c r="D13" s="28">
        <v>24.0</v>
      </c>
      <c r="E13" s="35"/>
      <c r="F13" s="35"/>
      <c r="G13" s="28">
        <v>24.0</v>
      </c>
      <c r="H13" s="35"/>
      <c r="I13" s="28">
        <v>2.0</v>
      </c>
      <c r="J13" s="28">
        <v>13.0</v>
      </c>
      <c r="K13" s="34">
        <f>sum(C6:J6)+sum(C12:J13)</f>
        <v>221</v>
      </c>
      <c r="L13" s="22">
        <f>sum(C10:J13)</f>
        <v>340</v>
      </c>
    </row>
    <row r="14">
      <c r="C14" s="28" t="s">
        <v>110</v>
      </c>
      <c r="D14" s="28" t="s">
        <v>111</v>
      </c>
      <c r="E14" s="28" t="s">
        <v>112</v>
      </c>
      <c r="F14" s="28" t="s">
        <v>120</v>
      </c>
      <c r="G14" s="28" t="s">
        <v>114</v>
      </c>
      <c r="H14" s="28" t="s">
        <v>115</v>
      </c>
      <c r="I14" s="28" t="s">
        <v>116</v>
      </c>
      <c r="J14" s="28" t="s">
        <v>117</v>
      </c>
    </row>
    <row r="15">
      <c r="C15" s="34">
        <f t="shared" ref="C15:J15" si="1">sum(C2:C13)</f>
        <v>290</v>
      </c>
      <c r="D15" s="34">
        <f t="shared" si="1"/>
        <v>163</v>
      </c>
      <c r="E15" s="34">
        <f t="shared" si="1"/>
        <v>97</v>
      </c>
      <c r="F15" s="34">
        <f t="shared" si="1"/>
        <v>184</v>
      </c>
      <c r="G15" s="34">
        <f t="shared" si="1"/>
        <v>254</v>
      </c>
      <c r="H15" s="34">
        <f t="shared" si="1"/>
        <v>18</v>
      </c>
      <c r="I15" s="34">
        <f t="shared" si="1"/>
        <v>65</v>
      </c>
      <c r="J15" s="34">
        <f t="shared" si="1"/>
        <v>76</v>
      </c>
      <c r="K15" s="34">
        <f>sum(K9:K13)</f>
        <v>1147</v>
      </c>
    </row>
    <row r="16">
      <c r="E16" s="8" t="s">
        <v>141</v>
      </c>
      <c r="F16" s="34">
        <f>sum(C15:F15)</f>
        <v>734</v>
      </c>
      <c r="I16" s="8" t="s">
        <v>142</v>
      </c>
      <c r="J16" s="34">
        <f>sum(G15:J15)</f>
        <v>413</v>
      </c>
      <c r="K16" s="34">
        <f>sum(C15:J15)</f>
        <v>1147</v>
      </c>
    </row>
    <row r="17">
      <c r="K17" s="34">
        <f>sum(J16+F16)</f>
        <v>1147</v>
      </c>
      <c r="L17" s="34">
        <f>sum(L7+L10+L13)</f>
        <v>1147</v>
      </c>
      <c r="M17" s="8" t="s">
        <v>143</v>
      </c>
    </row>
    <row r="19">
      <c r="F19" s="8">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3" width="23.75"/>
    <col customWidth="1" min="4" max="4" width="18.75"/>
    <col customWidth="1" min="5" max="5" width="17.25"/>
    <col customWidth="1" min="6" max="6" width="24.5"/>
    <col customWidth="1" min="8" max="8" width="31.0"/>
    <col customWidth="1" min="10" max="10" width="21.63"/>
  </cols>
  <sheetData>
    <row r="1" ht="30.75" customHeight="1">
      <c r="A1" s="36" t="s">
        <v>144</v>
      </c>
      <c r="H1" s="8"/>
      <c r="I1" s="8"/>
      <c r="J1" s="8"/>
    </row>
    <row r="2" ht="30.75" customHeight="1">
      <c r="A2" s="37" t="s">
        <v>145</v>
      </c>
      <c r="B2" s="38"/>
      <c r="C2" s="38"/>
      <c r="D2" s="38"/>
      <c r="E2" s="38"/>
      <c r="F2" s="39"/>
      <c r="H2" s="8"/>
      <c r="I2" s="8"/>
      <c r="J2" s="8"/>
    </row>
    <row r="3" ht="30.75" customHeight="1">
      <c r="A3" s="37" t="s">
        <v>146</v>
      </c>
      <c r="B3" s="38"/>
      <c r="C3" s="38"/>
      <c r="D3" s="38"/>
      <c r="E3" s="38"/>
      <c r="F3" s="39"/>
      <c r="H3" s="8"/>
      <c r="I3" s="8"/>
      <c r="J3" s="8"/>
    </row>
    <row r="4" ht="30.75" customHeight="1">
      <c r="A4" s="40"/>
      <c r="B4" s="41"/>
      <c r="C4" s="41"/>
      <c r="D4" s="41"/>
      <c r="E4" s="41"/>
      <c r="F4" s="42"/>
      <c r="H4" s="8"/>
      <c r="I4" s="8"/>
      <c r="J4" s="8"/>
    </row>
    <row r="5" ht="67.5" customHeight="1">
      <c r="A5" s="43" t="s">
        <v>0</v>
      </c>
      <c r="B5" s="2" t="s">
        <v>147</v>
      </c>
      <c r="C5" s="2" t="s">
        <v>148</v>
      </c>
      <c r="D5" s="2" t="s">
        <v>149</v>
      </c>
      <c r="E5" s="2" t="s">
        <v>150</v>
      </c>
      <c r="F5" s="6" t="s">
        <v>151</v>
      </c>
    </row>
    <row r="6">
      <c r="A6" s="28"/>
      <c r="B6" s="28"/>
      <c r="C6" s="28"/>
      <c r="D6" s="28"/>
      <c r="E6" s="28"/>
      <c r="F6" s="28"/>
    </row>
    <row r="7">
      <c r="A7" s="28"/>
      <c r="B7" s="28"/>
      <c r="C7" s="28"/>
      <c r="D7" s="28"/>
      <c r="E7" s="28"/>
      <c r="F7" s="28"/>
    </row>
    <row r="8">
      <c r="A8" s="28"/>
      <c r="B8" s="28"/>
      <c r="C8" s="28"/>
      <c r="D8" s="28"/>
      <c r="E8" s="28"/>
      <c r="F8" s="28"/>
    </row>
    <row r="9">
      <c r="A9" s="28"/>
      <c r="B9" s="28"/>
      <c r="C9" s="28"/>
      <c r="D9" s="28"/>
      <c r="E9" s="28"/>
      <c r="F9" s="28"/>
    </row>
    <row r="10">
      <c r="A10" s="28"/>
      <c r="B10" s="28"/>
      <c r="C10" s="28"/>
      <c r="D10" s="35"/>
      <c r="E10" s="35"/>
      <c r="F10" s="35"/>
    </row>
    <row r="11">
      <c r="A11" s="28"/>
      <c r="B11" s="28"/>
      <c r="C11" s="28"/>
      <c r="D11" s="35"/>
      <c r="E11" s="35"/>
      <c r="F11" s="35"/>
    </row>
    <row r="12">
      <c r="A12" s="35"/>
      <c r="B12" s="35"/>
      <c r="C12" s="35"/>
      <c r="D12" s="35"/>
      <c r="E12" s="35"/>
      <c r="F12" s="35"/>
    </row>
    <row r="13">
      <c r="A13" s="35"/>
      <c r="B13" s="35"/>
      <c r="C13" s="35"/>
      <c r="D13" s="35"/>
      <c r="E13" s="35"/>
      <c r="F13" s="35"/>
    </row>
    <row r="14">
      <c r="A14" s="35"/>
      <c r="B14" s="35"/>
      <c r="C14" s="35"/>
      <c r="D14" s="35"/>
      <c r="E14" s="35"/>
      <c r="F14" s="35"/>
    </row>
    <row r="15">
      <c r="A15" s="35"/>
      <c r="B15" s="35"/>
      <c r="C15" s="35"/>
      <c r="D15" s="35"/>
      <c r="E15" s="35"/>
      <c r="F15" s="35"/>
    </row>
    <row r="16">
      <c r="A16" s="35"/>
      <c r="B16" s="35"/>
      <c r="C16" s="35"/>
      <c r="D16" s="35"/>
      <c r="E16" s="35"/>
      <c r="F16" s="35"/>
    </row>
    <row r="17">
      <c r="A17" s="35"/>
      <c r="B17" s="35"/>
      <c r="C17" s="35"/>
      <c r="D17" s="35"/>
      <c r="E17" s="35"/>
      <c r="F17" s="35"/>
    </row>
    <row r="18">
      <c r="A18" s="35"/>
      <c r="B18" s="35"/>
      <c r="C18" s="35"/>
      <c r="D18" s="35"/>
      <c r="E18" s="35"/>
      <c r="F18" s="35"/>
    </row>
    <row r="19">
      <c r="A19" s="35"/>
      <c r="B19" s="35"/>
      <c r="C19" s="35"/>
      <c r="D19" s="35"/>
      <c r="E19" s="35"/>
      <c r="F19" s="35"/>
    </row>
    <row r="20">
      <c r="A20" s="35"/>
      <c r="B20" s="35"/>
      <c r="C20" s="35"/>
      <c r="D20" s="35"/>
      <c r="E20" s="35"/>
      <c r="F20" s="35"/>
    </row>
    <row r="21">
      <c r="A21" s="35"/>
      <c r="B21" s="35"/>
      <c r="C21" s="35"/>
      <c r="D21" s="35"/>
      <c r="E21" s="35"/>
      <c r="F21" s="35"/>
    </row>
    <row r="22">
      <c r="A22" s="35"/>
      <c r="B22" s="35"/>
      <c r="C22" s="35"/>
      <c r="D22" s="35"/>
      <c r="E22" s="35"/>
      <c r="F22" s="35"/>
    </row>
    <row r="23">
      <c r="A23" s="35"/>
      <c r="B23" s="35"/>
      <c r="C23" s="35"/>
      <c r="D23" s="35"/>
      <c r="E23" s="35"/>
      <c r="F23" s="35"/>
    </row>
    <row r="24">
      <c r="A24" s="35"/>
      <c r="B24" s="35"/>
      <c r="C24" s="35"/>
      <c r="D24" s="35"/>
      <c r="E24" s="35"/>
      <c r="F24" s="35"/>
    </row>
    <row r="25">
      <c r="A25" s="35"/>
      <c r="B25" s="35"/>
      <c r="C25" s="35"/>
      <c r="D25" s="35"/>
      <c r="E25" s="35"/>
      <c r="F25" s="35"/>
    </row>
    <row r="26">
      <c r="A26" s="35"/>
      <c r="B26" s="35"/>
      <c r="C26" s="35"/>
      <c r="D26" s="35"/>
      <c r="E26" s="35"/>
      <c r="F26" s="35"/>
    </row>
    <row r="27">
      <c r="A27" s="35"/>
      <c r="B27" s="35"/>
      <c r="C27" s="35"/>
      <c r="D27" s="35"/>
      <c r="E27" s="35"/>
      <c r="F27" s="35"/>
    </row>
    <row r="28">
      <c r="A28" s="35"/>
      <c r="B28" s="35"/>
      <c r="C28" s="35"/>
      <c r="D28" s="35"/>
      <c r="E28" s="35"/>
      <c r="F28" s="35"/>
    </row>
    <row r="29">
      <c r="A29" s="35"/>
      <c r="B29" s="35"/>
      <c r="C29" s="35"/>
      <c r="D29" s="35"/>
      <c r="E29" s="35"/>
      <c r="F29" s="35"/>
    </row>
    <row r="30">
      <c r="A30" s="35"/>
      <c r="B30" s="35"/>
      <c r="C30" s="35"/>
      <c r="D30" s="35"/>
      <c r="E30" s="35"/>
      <c r="F30" s="35"/>
    </row>
    <row r="31">
      <c r="A31" s="35"/>
      <c r="B31" s="35"/>
      <c r="C31" s="35"/>
      <c r="D31" s="35"/>
      <c r="E31" s="35"/>
      <c r="F31" s="35"/>
    </row>
    <row r="32">
      <c r="A32" s="35"/>
      <c r="B32" s="35"/>
      <c r="C32" s="35"/>
      <c r="D32" s="35"/>
      <c r="E32" s="35"/>
      <c r="F32" s="35"/>
    </row>
    <row r="33">
      <c r="A33" s="35"/>
      <c r="B33" s="35"/>
      <c r="C33" s="35"/>
      <c r="D33" s="35"/>
      <c r="E33" s="35"/>
      <c r="F33" s="35"/>
    </row>
    <row r="34">
      <c r="A34" s="35"/>
      <c r="B34" s="35"/>
      <c r="C34" s="35"/>
      <c r="D34" s="35"/>
      <c r="E34" s="35"/>
      <c r="F34" s="35"/>
    </row>
    <row r="35">
      <c r="A35" s="35"/>
      <c r="B35" s="35"/>
      <c r="C35" s="35"/>
      <c r="D35" s="35"/>
      <c r="E35" s="35"/>
      <c r="F35" s="35"/>
    </row>
    <row r="36">
      <c r="A36" s="35"/>
      <c r="B36" s="35"/>
      <c r="C36" s="35"/>
      <c r="D36" s="35"/>
      <c r="E36" s="35"/>
      <c r="F36" s="35"/>
    </row>
    <row r="37">
      <c r="A37" s="35"/>
      <c r="B37" s="35"/>
      <c r="C37" s="35"/>
      <c r="D37" s="35"/>
      <c r="E37" s="35"/>
      <c r="F37" s="35"/>
    </row>
    <row r="38">
      <c r="A38" s="35"/>
      <c r="B38" s="35"/>
      <c r="C38" s="35"/>
      <c r="D38" s="35"/>
      <c r="E38" s="35"/>
      <c r="F38" s="35"/>
    </row>
    <row r="39">
      <c r="A39" s="35"/>
      <c r="B39" s="35"/>
      <c r="C39" s="35"/>
      <c r="D39" s="35"/>
      <c r="E39" s="35"/>
      <c r="F39" s="35"/>
    </row>
    <row r="40">
      <c r="A40" s="35"/>
      <c r="B40" s="35"/>
      <c r="C40" s="35"/>
      <c r="D40" s="35"/>
      <c r="E40" s="35"/>
      <c r="F40" s="35"/>
    </row>
    <row r="41">
      <c r="A41" s="35"/>
      <c r="B41" s="35"/>
      <c r="C41" s="35"/>
      <c r="D41" s="35"/>
      <c r="E41" s="35"/>
      <c r="F41" s="35"/>
    </row>
    <row r="42">
      <c r="A42" s="35"/>
      <c r="B42" s="35"/>
      <c r="C42" s="35"/>
      <c r="D42" s="35"/>
      <c r="E42" s="35"/>
      <c r="F42" s="35"/>
    </row>
    <row r="43">
      <c r="A43" s="35"/>
      <c r="B43" s="35"/>
      <c r="C43" s="35"/>
      <c r="D43" s="35"/>
      <c r="E43" s="35"/>
      <c r="F43" s="35"/>
    </row>
    <row r="44">
      <c r="A44" s="35"/>
      <c r="B44" s="35"/>
      <c r="C44" s="35"/>
      <c r="D44" s="35"/>
      <c r="E44" s="35"/>
      <c r="F44" s="35"/>
    </row>
    <row r="45">
      <c r="A45" s="35"/>
      <c r="B45" s="35"/>
      <c r="C45" s="35"/>
      <c r="D45" s="35"/>
      <c r="E45" s="35"/>
      <c r="F45" s="35"/>
    </row>
    <row r="46">
      <c r="A46" s="35"/>
      <c r="B46" s="35"/>
      <c r="C46" s="35"/>
      <c r="D46" s="35"/>
      <c r="E46" s="35"/>
      <c r="F46" s="35"/>
    </row>
    <row r="47">
      <c r="A47" s="35"/>
      <c r="B47" s="35"/>
      <c r="C47" s="35"/>
      <c r="D47" s="35"/>
      <c r="E47" s="35"/>
      <c r="F47" s="35"/>
    </row>
    <row r="48">
      <c r="A48" s="35"/>
      <c r="B48" s="35"/>
      <c r="C48" s="35"/>
      <c r="D48" s="35"/>
      <c r="E48" s="35"/>
      <c r="F48" s="35"/>
    </row>
    <row r="49">
      <c r="A49" s="35"/>
      <c r="B49" s="35"/>
      <c r="C49" s="35"/>
      <c r="D49" s="35"/>
      <c r="E49" s="35"/>
      <c r="F49" s="35"/>
    </row>
    <row r="50">
      <c r="A50" s="35"/>
      <c r="B50" s="35"/>
      <c r="C50" s="35"/>
      <c r="D50" s="35"/>
      <c r="E50" s="35"/>
      <c r="F50" s="35"/>
    </row>
    <row r="51">
      <c r="A51" s="35"/>
      <c r="B51" s="35"/>
      <c r="C51" s="35"/>
      <c r="D51" s="35"/>
      <c r="E51" s="35"/>
      <c r="F51" s="35"/>
    </row>
    <row r="52">
      <c r="A52" s="35"/>
      <c r="B52" s="35"/>
      <c r="C52" s="35"/>
      <c r="D52" s="35"/>
      <c r="E52" s="35"/>
      <c r="F52" s="35"/>
    </row>
    <row r="53">
      <c r="A53" s="35"/>
      <c r="B53" s="35"/>
      <c r="C53" s="35"/>
      <c r="D53" s="35"/>
      <c r="E53" s="35"/>
      <c r="F53" s="35"/>
    </row>
    <row r="54">
      <c r="A54" s="35"/>
      <c r="B54" s="35"/>
      <c r="C54" s="35"/>
      <c r="D54" s="35"/>
      <c r="E54" s="35"/>
      <c r="F54" s="35"/>
    </row>
    <row r="55">
      <c r="A55" s="35"/>
      <c r="B55" s="35"/>
      <c r="C55" s="35"/>
      <c r="D55" s="35"/>
      <c r="E55" s="35"/>
      <c r="F55" s="35"/>
    </row>
    <row r="56">
      <c r="A56" s="35"/>
      <c r="B56" s="35"/>
      <c r="C56" s="35"/>
      <c r="D56" s="35"/>
      <c r="E56" s="35"/>
      <c r="F56" s="35"/>
    </row>
    <row r="57">
      <c r="A57" s="35"/>
      <c r="B57" s="35"/>
      <c r="C57" s="35"/>
      <c r="D57" s="35"/>
      <c r="E57" s="35"/>
      <c r="F57" s="35"/>
    </row>
    <row r="58">
      <c r="A58" s="35"/>
      <c r="B58" s="35"/>
      <c r="C58" s="35"/>
      <c r="D58" s="35"/>
      <c r="E58" s="35"/>
      <c r="F58" s="35"/>
    </row>
    <row r="59">
      <c r="A59" s="35"/>
      <c r="B59" s="35"/>
      <c r="C59" s="35"/>
      <c r="D59" s="35"/>
      <c r="E59" s="35"/>
      <c r="F59" s="35"/>
    </row>
    <row r="60" ht="67.5" customHeight="1">
      <c r="A60" s="43" t="s">
        <v>0</v>
      </c>
      <c r="B60" s="2" t="s">
        <v>152</v>
      </c>
      <c r="C60" s="2" t="s">
        <v>153</v>
      </c>
      <c r="D60" s="2" t="s">
        <v>154</v>
      </c>
      <c r="E60" s="2" t="s">
        <v>155</v>
      </c>
      <c r="F60" s="6" t="s">
        <v>156</v>
      </c>
    </row>
    <row r="61">
      <c r="A61" s="35"/>
      <c r="B61" s="35"/>
      <c r="C61" s="35"/>
      <c r="D61" s="35"/>
      <c r="E61" s="35"/>
      <c r="F61" s="35"/>
    </row>
    <row r="62">
      <c r="A62" s="35"/>
      <c r="B62" s="35"/>
      <c r="C62" s="35"/>
      <c r="D62" s="35"/>
      <c r="E62" s="35"/>
      <c r="F62" s="35"/>
    </row>
    <row r="63">
      <c r="A63" s="35"/>
      <c r="B63" s="35"/>
      <c r="C63" s="35"/>
      <c r="D63" s="35"/>
      <c r="E63" s="35"/>
      <c r="F63" s="35"/>
    </row>
    <row r="64">
      <c r="A64" s="35"/>
      <c r="B64" s="35"/>
      <c r="C64" s="35"/>
      <c r="D64" s="35"/>
      <c r="E64" s="35"/>
      <c r="F64" s="35"/>
    </row>
    <row r="65">
      <c r="A65" s="35"/>
      <c r="B65" s="35"/>
      <c r="C65" s="35"/>
      <c r="D65" s="35"/>
      <c r="E65" s="35"/>
      <c r="F65" s="35"/>
    </row>
    <row r="66">
      <c r="A66" s="35"/>
      <c r="B66" s="35"/>
      <c r="C66" s="35"/>
      <c r="D66" s="35"/>
      <c r="E66" s="35"/>
      <c r="F66" s="35"/>
    </row>
    <row r="67">
      <c r="A67" s="35"/>
      <c r="B67" s="35"/>
      <c r="C67" s="35"/>
      <c r="D67" s="35"/>
      <c r="E67" s="35"/>
      <c r="F67" s="35"/>
    </row>
    <row r="68">
      <c r="A68" s="35"/>
      <c r="B68" s="35"/>
      <c r="C68" s="35"/>
      <c r="D68" s="35"/>
      <c r="E68" s="35"/>
      <c r="F68" s="35"/>
    </row>
    <row r="69">
      <c r="A69" s="35"/>
      <c r="B69" s="35"/>
      <c r="C69" s="35"/>
      <c r="D69" s="35"/>
      <c r="E69" s="35"/>
      <c r="F69" s="35"/>
    </row>
    <row r="70">
      <c r="A70" s="35"/>
      <c r="B70" s="35"/>
      <c r="C70" s="35"/>
      <c r="D70" s="35"/>
      <c r="E70" s="35"/>
      <c r="F70" s="35"/>
    </row>
    <row r="71">
      <c r="A71" s="35"/>
      <c r="B71" s="35"/>
      <c r="C71" s="35"/>
      <c r="D71" s="35"/>
      <c r="E71" s="35"/>
      <c r="F71" s="35"/>
    </row>
    <row r="72">
      <c r="A72" s="35"/>
      <c r="B72" s="35"/>
      <c r="C72" s="35"/>
      <c r="D72" s="35"/>
      <c r="E72" s="35"/>
      <c r="F72" s="35"/>
    </row>
    <row r="73">
      <c r="A73" s="35"/>
      <c r="B73" s="35"/>
      <c r="C73" s="35"/>
      <c r="D73" s="35"/>
      <c r="E73" s="35"/>
      <c r="F73" s="35"/>
    </row>
    <row r="74">
      <c r="A74" s="35"/>
      <c r="B74" s="35"/>
      <c r="C74" s="35"/>
      <c r="D74" s="35"/>
      <c r="E74" s="35"/>
      <c r="F74" s="35"/>
    </row>
    <row r="75">
      <c r="A75" s="35"/>
      <c r="B75" s="35"/>
      <c r="C75" s="35"/>
      <c r="D75" s="35"/>
      <c r="E75" s="35"/>
      <c r="F75" s="35"/>
    </row>
    <row r="76">
      <c r="A76" s="35"/>
      <c r="B76" s="35"/>
      <c r="C76" s="35"/>
      <c r="D76" s="35"/>
      <c r="E76" s="35"/>
      <c r="F76" s="35"/>
    </row>
    <row r="77">
      <c r="A77" s="35"/>
      <c r="B77" s="35"/>
      <c r="C77" s="35"/>
      <c r="D77" s="35"/>
      <c r="E77" s="35"/>
      <c r="F77" s="35"/>
    </row>
    <row r="78">
      <c r="A78" s="35"/>
      <c r="B78" s="35"/>
      <c r="C78" s="35"/>
      <c r="D78" s="35"/>
      <c r="E78" s="35"/>
      <c r="F78" s="35"/>
    </row>
    <row r="79">
      <c r="A79" s="35"/>
      <c r="B79" s="35"/>
      <c r="C79" s="35"/>
      <c r="D79" s="35"/>
      <c r="E79" s="35"/>
      <c r="F79" s="35"/>
    </row>
    <row r="80">
      <c r="A80" s="35"/>
      <c r="B80" s="35"/>
      <c r="C80" s="35"/>
      <c r="D80" s="35"/>
      <c r="E80" s="35"/>
      <c r="F80" s="35"/>
    </row>
    <row r="81">
      <c r="A81" s="35"/>
      <c r="B81" s="35"/>
      <c r="C81" s="35"/>
      <c r="D81" s="35"/>
      <c r="E81" s="35"/>
      <c r="F81" s="35"/>
    </row>
    <row r="82">
      <c r="A82" s="35"/>
      <c r="B82" s="35"/>
      <c r="C82" s="35"/>
      <c r="D82" s="35"/>
      <c r="E82" s="35"/>
      <c r="F82" s="35"/>
    </row>
    <row r="83">
      <c r="A83" s="35"/>
      <c r="B83" s="35"/>
      <c r="C83" s="35"/>
      <c r="D83" s="35"/>
      <c r="E83" s="35"/>
      <c r="F83" s="35"/>
    </row>
    <row r="84">
      <c r="A84" s="35"/>
      <c r="B84" s="35"/>
      <c r="C84" s="35"/>
      <c r="D84" s="35"/>
      <c r="E84" s="35"/>
      <c r="F84" s="35"/>
    </row>
    <row r="85">
      <c r="A85" s="35"/>
      <c r="B85" s="35"/>
      <c r="C85" s="35"/>
      <c r="D85" s="35"/>
      <c r="E85" s="35"/>
      <c r="F85" s="35"/>
    </row>
    <row r="86">
      <c r="A86" s="35"/>
      <c r="B86" s="35"/>
      <c r="C86" s="35"/>
      <c r="D86" s="35"/>
      <c r="E86" s="35"/>
      <c r="F86" s="35"/>
    </row>
    <row r="87">
      <c r="A87" s="35"/>
      <c r="B87" s="35"/>
      <c r="C87" s="35"/>
      <c r="D87" s="35"/>
      <c r="E87" s="35"/>
      <c r="F87" s="35"/>
    </row>
    <row r="88">
      <c r="A88" s="35"/>
      <c r="B88" s="35"/>
      <c r="C88" s="35"/>
      <c r="D88" s="35"/>
      <c r="E88" s="35"/>
      <c r="F88" s="35"/>
    </row>
    <row r="89">
      <c r="A89" s="35"/>
      <c r="B89" s="35"/>
      <c r="C89" s="35"/>
      <c r="D89" s="35"/>
      <c r="E89" s="35"/>
      <c r="F89" s="35"/>
    </row>
    <row r="90">
      <c r="A90" s="35"/>
      <c r="B90" s="35"/>
      <c r="C90" s="35"/>
      <c r="D90" s="35"/>
      <c r="E90" s="35"/>
      <c r="F90" s="35"/>
    </row>
    <row r="91">
      <c r="A91" s="35"/>
      <c r="B91" s="35"/>
      <c r="C91" s="35"/>
      <c r="D91" s="35"/>
      <c r="E91" s="35"/>
      <c r="F91" s="35"/>
    </row>
    <row r="92">
      <c r="A92" s="35"/>
      <c r="B92" s="35"/>
      <c r="C92" s="35"/>
      <c r="D92" s="35"/>
      <c r="E92" s="35"/>
      <c r="F92" s="35"/>
    </row>
    <row r="93">
      <c r="A93" s="35"/>
      <c r="B93" s="35"/>
      <c r="C93" s="35"/>
      <c r="D93" s="35"/>
      <c r="E93" s="35"/>
      <c r="F93" s="35"/>
    </row>
    <row r="94">
      <c r="A94" s="35"/>
      <c r="B94" s="35"/>
      <c r="C94" s="35"/>
      <c r="D94" s="35"/>
      <c r="E94" s="35"/>
      <c r="F94" s="35"/>
    </row>
    <row r="95">
      <c r="A95" s="35"/>
      <c r="B95" s="35"/>
      <c r="C95" s="35"/>
      <c r="D95" s="35"/>
      <c r="E95" s="35"/>
      <c r="F95" s="35"/>
    </row>
    <row r="96">
      <c r="A96" s="35"/>
      <c r="B96" s="35"/>
      <c r="C96" s="35"/>
      <c r="D96" s="35"/>
      <c r="E96" s="35"/>
      <c r="F96" s="35"/>
    </row>
    <row r="97">
      <c r="A97" s="35"/>
      <c r="B97" s="35"/>
      <c r="C97" s="35"/>
      <c r="D97" s="35"/>
      <c r="E97" s="35"/>
      <c r="F97" s="35"/>
    </row>
    <row r="98">
      <c r="A98" s="35"/>
      <c r="B98" s="35"/>
      <c r="C98" s="35"/>
      <c r="D98" s="35"/>
      <c r="E98" s="35"/>
      <c r="F98" s="35"/>
    </row>
    <row r="99">
      <c r="A99" s="35"/>
      <c r="B99" s="35"/>
      <c r="C99" s="35"/>
      <c r="D99" s="35"/>
      <c r="E99" s="35"/>
      <c r="F99" s="35"/>
    </row>
    <row r="100">
      <c r="A100" s="35"/>
      <c r="B100" s="35"/>
      <c r="C100" s="35"/>
      <c r="D100" s="35"/>
      <c r="E100" s="35"/>
      <c r="F100" s="35"/>
    </row>
    <row r="101">
      <c r="A101" s="35"/>
      <c r="B101" s="35"/>
      <c r="C101" s="35"/>
      <c r="D101" s="35"/>
      <c r="E101" s="35"/>
      <c r="F101" s="35"/>
    </row>
    <row r="102">
      <c r="A102" s="35"/>
      <c r="B102" s="35"/>
      <c r="C102" s="35"/>
      <c r="D102" s="35"/>
      <c r="E102" s="35"/>
      <c r="F102" s="35"/>
    </row>
    <row r="103">
      <c r="A103" s="35"/>
      <c r="B103" s="35"/>
      <c r="C103" s="35"/>
      <c r="D103" s="35"/>
      <c r="E103" s="35"/>
      <c r="F103" s="35"/>
    </row>
    <row r="104">
      <c r="A104" s="35"/>
      <c r="B104" s="35"/>
      <c r="C104" s="35"/>
      <c r="D104" s="35"/>
      <c r="E104" s="35"/>
      <c r="F104" s="35"/>
    </row>
    <row r="106">
      <c r="A106" s="36"/>
      <c r="B106" s="36"/>
      <c r="C106" s="44" t="s">
        <v>157</v>
      </c>
      <c r="D106" s="44" t="s">
        <v>158</v>
      </c>
      <c r="E106" s="44" t="s">
        <v>159</v>
      </c>
      <c r="F106" s="44" t="s">
        <v>160</v>
      </c>
    </row>
    <row r="107">
      <c r="A107" s="8"/>
      <c r="B107" s="8"/>
      <c r="C107" s="28" t="s">
        <v>161</v>
      </c>
      <c r="D107" s="28" t="s">
        <v>162</v>
      </c>
      <c r="E107" s="28" t="s">
        <v>163</v>
      </c>
      <c r="F107" s="28" t="s">
        <v>164</v>
      </c>
    </row>
    <row r="108">
      <c r="A108" s="8"/>
      <c r="B108" s="8"/>
      <c r="C108" s="28" t="s">
        <v>165</v>
      </c>
      <c r="D108" s="28" t="s">
        <v>166</v>
      </c>
      <c r="E108" s="28" t="s">
        <v>167</v>
      </c>
      <c r="F108" s="28" t="s">
        <v>168</v>
      </c>
    </row>
    <row r="109">
      <c r="A109" s="8"/>
      <c r="B109" s="8"/>
      <c r="C109" s="28" t="s">
        <v>169</v>
      </c>
      <c r="D109" s="28" t="s">
        <v>170</v>
      </c>
      <c r="E109" s="28" t="s">
        <v>171</v>
      </c>
      <c r="F109" s="28" t="s">
        <v>172</v>
      </c>
    </row>
    <row r="110">
      <c r="A110" s="8"/>
      <c r="B110" s="8"/>
      <c r="C110" s="28" t="s">
        <v>173</v>
      </c>
      <c r="D110" s="28" t="s">
        <v>174</v>
      </c>
      <c r="E110" s="28" t="s">
        <v>175</v>
      </c>
      <c r="F110" s="35"/>
    </row>
    <row r="111">
      <c r="A111" s="8"/>
      <c r="B111" s="8"/>
      <c r="C111" s="28" t="s">
        <v>176</v>
      </c>
      <c r="D111" s="28" t="s">
        <v>177</v>
      </c>
      <c r="E111" s="28" t="s">
        <v>178</v>
      </c>
      <c r="F111" s="35"/>
    </row>
    <row r="112">
      <c r="A112" s="8"/>
      <c r="B112" s="8"/>
      <c r="C112" s="28" t="s">
        <v>179</v>
      </c>
      <c r="D112" s="28" t="s">
        <v>180</v>
      </c>
      <c r="E112" s="35"/>
      <c r="F112" s="35"/>
    </row>
    <row r="113">
      <c r="A113" s="8"/>
      <c r="B113" s="8"/>
      <c r="C113" s="28" t="s">
        <v>181</v>
      </c>
      <c r="D113" s="28" t="s">
        <v>130</v>
      </c>
      <c r="E113" s="35"/>
      <c r="F113" s="35"/>
    </row>
    <row r="114">
      <c r="A114" s="8"/>
      <c r="B114" s="8"/>
      <c r="C114" s="28" t="s">
        <v>182</v>
      </c>
      <c r="D114" s="28" t="s">
        <v>132</v>
      </c>
      <c r="E114" s="35"/>
      <c r="F114" s="35"/>
    </row>
  </sheetData>
  <mergeCells count="4">
    <mergeCell ref="A1:F1"/>
    <mergeCell ref="A2:F2"/>
    <mergeCell ref="A3:F3"/>
    <mergeCell ref="A4:F4"/>
  </mergeCells>
  <printOptions gridLines="1" horizontalCentered="1"/>
  <pageMargins bottom="0.75" footer="0.0" header="0.0" left="0.7" right="0.7" top="0.75"/>
  <pageSetup fitToHeight="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7.13"/>
  </cols>
  <sheetData>
    <row r="1" ht="57.0" customHeight="1">
      <c r="A1" s="45" t="s">
        <v>183</v>
      </c>
      <c r="B1" s="46" t="s">
        <v>110</v>
      </c>
      <c r="C1" s="46" t="s">
        <v>111</v>
      </c>
      <c r="D1" s="46" t="s">
        <v>112</v>
      </c>
      <c r="E1" s="46" t="s">
        <v>120</v>
      </c>
      <c r="F1" s="46" t="s">
        <v>114</v>
      </c>
      <c r="G1" s="46" t="s">
        <v>115</v>
      </c>
      <c r="H1" s="46" t="s">
        <v>116</v>
      </c>
      <c r="I1" s="46" t="s">
        <v>117</v>
      </c>
      <c r="J1" s="47" t="s">
        <v>184</v>
      </c>
    </row>
    <row r="2" ht="49.5" customHeight="1">
      <c r="A2" s="28" t="s">
        <v>121</v>
      </c>
      <c r="B2" s="48">
        <f>(46-9)/50</f>
        <v>0.74</v>
      </c>
      <c r="C2" s="48">
        <f>(14-1)/15</f>
        <v>0.8666666667</v>
      </c>
      <c r="D2" s="48">
        <f>(12-0)/15</f>
        <v>0.8</v>
      </c>
      <c r="E2" s="48">
        <f>(13-9)/15</f>
        <v>0.2666666667</v>
      </c>
      <c r="F2" s="48">
        <f>(6-1)/7</f>
        <v>0.7142857143</v>
      </c>
      <c r="G2" s="48"/>
      <c r="H2" s="48">
        <f>(2-0)/5</f>
        <v>0.4</v>
      </c>
      <c r="I2" s="48">
        <f>(9-4)/10</f>
        <v>0.5</v>
      </c>
      <c r="J2" s="49"/>
    </row>
    <row r="3" ht="49.5" customHeight="1">
      <c r="A3" s="28" t="s">
        <v>122</v>
      </c>
      <c r="B3" s="48">
        <f>(37-3)/60</f>
        <v>0.5666666667</v>
      </c>
      <c r="C3" s="48">
        <f>(15-8)/15</f>
        <v>0.4666666667</v>
      </c>
      <c r="D3" s="48">
        <f>(13-2)/15</f>
        <v>0.7333333333</v>
      </c>
      <c r="E3" s="48">
        <f>(10-5)/10</f>
        <v>0.5</v>
      </c>
      <c r="F3" s="48">
        <f>(5-2)/7</f>
        <v>0.4285714286</v>
      </c>
      <c r="G3" s="48"/>
      <c r="H3" s="48">
        <f>(5-4)/5</f>
        <v>0.2</v>
      </c>
      <c r="I3" s="48">
        <f>(3-2)/10</f>
        <v>0.1</v>
      </c>
      <c r="J3" s="50"/>
    </row>
    <row r="4" ht="49.5" customHeight="1">
      <c r="A4" s="45" t="s">
        <v>183</v>
      </c>
      <c r="B4" s="46" t="s">
        <v>110</v>
      </c>
      <c r="C4" s="46" t="s">
        <v>111</v>
      </c>
      <c r="D4" s="46" t="s">
        <v>112</v>
      </c>
      <c r="E4" s="46" t="s">
        <v>120</v>
      </c>
      <c r="F4" s="46" t="s">
        <v>114</v>
      </c>
      <c r="G4" s="46" t="s">
        <v>115</v>
      </c>
      <c r="H4" s="46" t="s">
        <v>116</v>
      </c>
      <c r="I4" s="46" t="s">
        <v>117</v>
      </c>
      <c r="J4" s="47" t="s">
        <v>185</v>
      </c>
    </row>
    <row r="5" ht="49.5" customHeight="1">
      <c r="A5" s="28" t="s">
        <v>123</v>
      </c>
      <c r="B5" s="48"/>
      <c r="C5" s="48"/>
      <c r="D5" s="48">
        <f>(11-1)/21</f>
        <v>0.4761904762</v>
      </c>
      <c r="E5" s="48">
        <f>(24-11)/48</f>
        <v>0.2708333333</v>
      </c>
      <c r="F5" s="48">
        <f>(27-0)/32</f>
        <v>0.84375</v>
      </c>
      <c r="G5" s="48">
        <f>(7-3)/10</f>
        <v>0.4</v>
      </c>
      <c r="H5" s="48">
        <f>(3-2)/9</f>
        <v>0.1111111111</v>
      </c>
      <c r="I5" s="48"/>
      <c r="J5" s="49"/>
    </row>
    <row r="6" ht="49.5" customHeight="1">
      <c r="A6" s="28" t="s">
        <v>124</v>
      </c>
      <c r="B6" s="48"/>
      <c r="C6" s="48"/>
      <c r="D6" s="48">
        <f>(11-0)/15</f>
        <v>0.7333333333</v>
      </c>
      <c r="E6" s="48">
        <f>(26-0)/49</f>
        <v>0.5306122449</v>
      </c>
      <c r="F6" s="48">
        <f>(29-0)/30</f>
        <v>0.9666666667</v>
      </c>
      <c r="G6" s="48"/>
      <c r="H6" s="48">
        <f>(9-7)/9</f>
        <v>0.2222222222</v>
      </c>
      <c r="I6" s="48"/>
      <c r="J6" s="50"/>
    </row>
    <row r="7" ht="49.5" customHeight="1">
      <c r="A7" s="51" t="s">
        <v>183</v>
      </c>
      <c r="B7" s="52" t="s">
        <v>110</v>
      </c>
      <c r="C7" s="52" t="s">
        <v>111</v>
      </c>
      <c r="D7" s="52" t="s">
        <v>112</v>
      </c>
      <c r="E7" s="52" t="s">
        <v>120</v>
      </c>
      <c r="F7" s="52" t="s">
        <v>114</v>
      </c>
      <c r="G7" s="52" t="s">
        <v>115</v>
      </c>
      <c r="H7" s="52" t="s">
        <v>116</v>
      </c>
      <c r="I7" s="52" t="s">
        <v>117</v>
      </c>
      <c r="J7" s="47" t="s">
        <v>186</v>
      </c>
    </row>
    <row r="8" ht="49.5" customHeight="1">
      <c r="A8" s="28" t="s">
        <v>187</v>
      </c>
      <c r="B8" s="53"/>
      <c r="C8" s="53"/>
      <c r="D8" s="53"/>
      <c r="E8" s="53"/>
      <c r="F8" s="48">
        <f>(31-0)/32</f>
        <v>0.96875</v>
      </c>
      <c r="G8" s="53"/>
      <c r="H8" s="53"/>
      <c r="I8" s="53"/>
      <c r="J8" s="49"/>
    </row>
    <row r="9" ht="49.5" customHeight="1">
      <c r="A9" s="28" t="s">
        <v>188</v>
      </c>
      <c r="B9" s="53"/>
      <c r="C9" s="53"/>
      <c r="D9" s="53"/>
      <c r="E9" s="53"/>
      <c r="F9" s="48">
        <f>(28-7)/32</f>
        <v>0.65625</v>
      </c>
      <c r="G9" s="53"/>
      <c r="H9" s="53"/>
      <c r="I9" s="53"/>
      <c r="J9" s="50"/>
    </row>
    <row r="10" ht="49.5" customHeight="1">
      <c r="J10" s="54"/>
    </row>
    <row r="11" ht="49.5" customHeight="1">
      <c r="A11" s="51" t="s">
        <v>183</v>
      </c>
      <c r="B11" s="52" t="s">
        <v>114</v>
      </c>
      <c r="C11" s="55"/>
      <c r="J11" s="54"/>
    </row>
    <row r="12" ht="49.5" customHeight="1">
      <c r="A12" s="28" t="s">
        <v>187</v>
      </c>
      <c r="B12" s="48">
        <f>(30-0)/32</f>
        <v>0.9375</v>
      </c>
      <c r="J12" s="54"/>
    </row>
    <row r="13" ht="49.5" customHeight="1">
      <c r="A13" s="28" t="s">
        <v>188</v>
      </c>
      <c r="B13" s="48">
        <f>(27-7)/32</f>
        <v>0.625</v>
      </c>
      <c r="J13" s="54"/>
    </row>
    <row r="14" ht="49.5" customHeight="1">
      <c r="J14" s="54"/>
    </row>
    <row r="15" ht="18.0" customHeight="1">
      <c r="A15" s="56" t="s">
        <v>189</v>
      </c>
      <c r="B15" s="56" t="s">
        <v>190</v>
      </c>
      <c r="C15" s="56" t="s">
        <v>191</v>
      </c>
      <c r="D15" s="56" t="s">
        <v>192</v>
      </c>
      <c r="E15" s="56" t="s">
        <v>193</v>
      </c>
      <c r="F15" s="56" t="s">
        <v>194</v>
      </c>
      <c r="G15" s="57"/>
      <c r="H15" s="57"/>
      <c r="I15" s="57"/>
      <c r="J15" s="58"/>
      <c r="K15" s="57"/>
      <c r="L15" s="57"/>
      <c r="M15" s="57"/>
      <c r="N15" s="57"/>
      <c r="O15" s="57"/>
      <c r="P15" s="57"/>
      <c r="Q15" s="57"/>
      <c r="R15" s="57"/>
      <c r="S15" s="57"/>
      <c r="T15" s="57"/>
      <c r="U15" s="57"/>
      <c r="V15" s="57"/>
      <c r="W15" s="57"/>
      <c r="X15" s="57"/>
      <c r="Y15" s="57"/>
      <c r="Z15" s="57"/>
      <c r="AA15" s="57"/>
    </row>
    <row r="16" ht="18.0" customHeight="1">
      <c r="A16" s="8" t="s">
        <v>195</v>
      </c>
      <c r="B16" s="8">
        <v>6.5</v>
      </c>
      <c r="C16" s="8">
        <v>2.0</v>
      </c>
      <c r="J16" s="54"/>
    </row>
    <row r="17" ht="18.0" customHeight="1">
      <c r="A17" s="8" t="s">
        <v>195</v>
      </c>
      <c r="B17" s="8">
        <v>12.0</v>
      </c>
      <c r="C17" s="8">
        <v>2.0</v>
      </c>
      <c r="J17" s="54"/>
    </row>
    <row r="18" ht="18.0" customHeight="1">
      <c r="A18" s="8" t="s">
        <v>195</v>
      </c>
      <c r="B18" s="8">
        <v>11.5</v>
      </c>
      <c r="C18" s="8">
        <v>2.0</v>
      </c>
      <c r="J18" s="54"/>
    </row>
    <row r="19" ht="18.0" customHeight="1">
      <c r="A19" s="8" t="s">
        <v>195</v>
      </c>
      <c r="B19" s="8" t="s">
        <v>196</v>
      </c>
      <c r="J19" s="54"/>
    </row>
    <row r="20" ht="18.0" customHeight="1">
      <c r="A20" s="8" t="s">
        <v>195</v>
      </c>
      <c r="B20" s="8" t="s">
        <v>196</v>
      </c>
      <c r="J20" s="54"/>
    </row>
    <row r="21" ht="18.0" customHeight="1">
      <c r="A21" s="8" t="s">
        <v>195</v>
      </c>
      <c r="B21" s="8" t="s">
        <v>196</v>
      </c>
      <c r="J21" s="54"/>
    </row>
    <row r="22" ht="18.0" customHeight="1">
      <c r="A22" s="8" t="s">
        <v>195</v>
      </c>
      <c r="B22" s="8" t="s">
        <v>196</v>
      </c>
      <c r="J22" s="54"/>
    </row>
    <row r="23" ht="18.0" customHeight="1">
      <c r="A23" s="8" t="s">
        <v>195</v>
      </c>
      <c r="B23" s="8" t="s">
        <v>196</v>
      </c>
      <c r="J23" s="54"/>
    </row>
    <row r="24" ht="18.0" customHeight="1">
      <c r="A24" s="8" t="s">
        <v>195</v>
      </c>
      <c r="B24" s="8" t="s">
        <v>196</v>
      </c>
      <c r="J24" s="54"/>
    </row>
    <row r="25" ht="18.0" customHeight="1">
      <c r="A25" s="8" t="s">
        <v>195</v>
      </c>
      <c r="B25" s="8" t="s">
        <v>196</v>
      </c>
      <c r="J25" s="54"/>
    </row>
    <row r="26" ht="18.0" customHeight="1">
      <c r="A26" s="8" t="s">
        <v>195</v>
      </c>
      <c r="B26" s="8">
        <v>8.5</v>
      </c>
      <c r="C26" s="8">
        <v>3.0</v>
      </c>
      <c r="J26" s="54"/>
    </row>
    <row r="27" ht="18.0" customHeight="1">
      <c r="A27" s="8" t="s">
        <v>195</v>
      </c>
      <c r="B27" s="8">
        <v>12.0</v>
      </c>
      <c r="C27" s="8">
        <v>4.0</v>
      </c>
      <c r="J27" s="54"/>
    </row>
    <row r="28" ht="18.0" customHeight="1">
      <c r="A28" s="8" t="s">
        <v>195</v>
      </c>
      <c r="B28" s="8" t="s">
        <v>196</v>
      </c>
      <c r="C28" s="8"/>
      <c r="J28" s="54"/>
    </row>
    <row r="29" ht="18.0" customHeight="1">
      <c r="A29" s="8" t="s">
        <v>195</v>
      </c>
      <c r="B29" s="8" t="s">
        <v>196</v>
      </c>
      <c r="C29" s="8"/>
      <c r="J29" s="54"/>
    </row>
    <row r="30" ht="18.0" customHeight="1">
      <c r="A30" s="8" t="s">
        <v>195</v>
      </c>
      <c r="B30" s="8">
        <v>10.0</v>
      </c>
      <c r="C30" s="8">
        <v>2.0</v>
      </c>
      <c r="J30" s="54"/>
    </row>
    <row r="31" ht="18.0" customHeight="1">
      <c r="A31" s="8" t="s">
        <v>195</v>
      </c>
      <c r="B31" s="8">
        <v>9.0</v>
      </c>
      <c r="C31" s="8">
        <v>4.0</v>
      </c>
      <c r="J31" s="54"/>
    </row>
    <row r="32" ht="18.0" customHeight="1">
      <c r="A32" s="8" t="s">
        <v>195</v>
      </c>
      <c r="B32" s="8">
        <v>10.0</v>
      </c>
      <c r="C32" s="8">
        <v>3.0</v>
      </c>
      <c r="D32" s="8"/>
      <c r="J32" s="54"/>
    </row>
    <row r="33" ht="18.0" customHeight="1">
      <c r="A33" s="8" t="s">
        <v>195</v>
      </c>
      <c r="B33" s="8">
        <v>8.0</v>
      </c>
      <c r="C33" s="8">
        <v>2.0</v>
      </c>
      <c r="D33" s="8" t="s">
        <v>197</v>
      </c>
      <c r="J33" s="54"/>
    </row>
    <row r="34" ht="18.0" customHeight="1">
      <c r="A34" s="8" t="s">
        <v>195</v>
      </c>
      <c r="B34" s="8">
        <v>8.0</v>
      </c>
      <c r="C34" s="8">
        <v>3.0</v>
      </c>
      <c r="J34" s="54"/>
    </row>
    <row r="35" ht="18.0" customHeight="1">
      <c r="A35" s="8" t="s">
        <v>195</v>
      </c>
      <c r="B35" s="8">
        <v>9.5</v>
      </c>
      <c r="C35" s="8">
        <v>2.0</v>
      </c>
      <c r="J35" s="54"/>
    </row>
    <row r="36" ht="18.0" customHeight="1">
      <c r="A36" s="8" t="s">
        <v>195</v>
      </c>
      <c r="B36" s="8">
        <v>8.0</v>
      </c>
      <c r="C36" s="8">
        <v>2.0</v>
      </c>
      <c r="D36" s="8" t="s">
        <v>197</v>
      </c>
      <c r="J36" s="54"/>
    </row>
    <row r="37" ht="18.0" customHeight="1">
      <c r="A37" s="8" t="s">
        <v>195</v>
      </c>
      <c r="B37" s="8">
        <v>8.0</v>
      </c>
      <c r="C37" s="8">
        <v>2.0</v>
      </c>
      <c r="J37" s="54"/>
    </row>
    <row r="38" ht="18.0" customHeight="1">
      <c r="A38" s="8" t="s">
        <v>195</v>
      </c>
      <c r="B38" s="8">
        <v>8.0</v>
      </c>
      <c r="C38" s="8">
        <v>2.0</v>
      </c>
      <c r="J38" s="54"/>
    </row>
    <row r="39" ht="18.0" customHeight="1">
      <c r="A39" s="8" t="s">
        <v>195</v>
      </c>
      <c r="B39" s="8">
        <v>12.0</v>
      </c>
      <c r="C39" s="8">
        <v>4.0</v>
      </c>
      <c r="D39" s="8" t="s">
        <v>198</v>
      </c>
      <c r="J39" s="54"/>
    </row>
    <row r="40" ht="18.0" customHeight="1">
      <c r="A40" s="8" t="s">
        <v>195</v>
      </c>
      <c r="B40" s="8">
        <v>11.0</v>
      </c>
      <c r="C40" s="8">
        <v>3.0</v>
      </c>
      <c r="J40" s="54"/>
    </row>
    <row r="41" ht="18.0" customHeight="1">
      <c r="A41" s="8" t="s">
        <v>195</v>
      </c>
      <c r="B41" s="8">
        <v>6.0</v>
      </c>
      <c r="C41" s="8">
        <v>3.0</v>
      </c>
      <c r="J41" s="54"/>
    </row>
    <row r="42" ht="18.0" customHeight="1">
      <c r="A42" s="8" t="s">
        <v>195</v>
      </c>
      <c r="B42" s="8">
        <v>7.0</v>
      </c>
      <c r="C42" s="8">
        <v>3.0</v>
      </c>
      <c r="D42" s="8" t="s">
        <v>198</v>
      </c>
      <c r="J42" s="54"/>
    </row>
    <row r="43" ht="18.0" customHeight="1">
      <c r="A43" s="8" t="s">
        <v>195</v>
      </c>
      <c r="B43" s="8">
        <v>12.0</v>
      </c>
      <c r="C43" s="8">
        <v>3.0</v>
      </c>
      <c r="D43" s="8" t="s">
        <v>198</v>
      </c>
      <c r="J43" s="54"/>
    </row>
    <row r="44" ht="18.0" customHeight="1">
      <c r="A44" s="8" t="s">
        <v>195</v>
      </c>
      <c r="B44" s="8">
        <v>12.0</v>
      </c>
      <c r="C44" s="8">
        <v>3.0</v>
      </c>
      <c r="D44" s="8" t="s">
        <v>198</v>
      </c>
      <c r="J44" s="54"/>
    </row>
    <row r="45" ht="18.0" customHeight="1">
      <c r="A45" s="8" t="s">
        <v>195</v>
      </c>
      <c r="B45" s="8">
        <v>9.0</v>
      </c>
      <c r="C45" s="8">
        <v>3.0</v>
      </c>
      <c r="J45" s="54"/>
    </row>
    <row r="46" ht="18.0" customHeight="1">
      <c r="A46" s="8" t="s">
        <v>195</v>
      </c>
      <c r="B46" s="8">
        <v>9.0</v>
      </c>
      <c r="C46" s="8">
        <v>3.0</v>
      </c>
      <c r="D46" s="8" t="s">
        <v>199</v>
      </c>
      <c r="J46" s="54"/>
    </row>
    <row r="47" ht="18.0" customHeight="1">
      <c r="A47" s="8" t="s">
        <v>195</v>
      </c>
      <c r="B47" s="8">
        <v>8.0</v>
      </c>
      <c r="C47" s="8">
        <v>2.0</v>
      </c>
      <c r="D47" s="8" t="s">
        <v>198</v>
      </c>
      <c r="J47" s="54"/>
    </row>
    <row r="48" ht="18.0" customHeight="1">
      <c r="A48" s="8" t="s">
        <v>195</v>
      </c>
      <c r="B48" s="8">
        <v>11.0</v>
      </c>
      <c r="C48" s="8">
        <v>5.0</v>
      </c>
      <c r="D48" s="8" t="s">
        <v>198</v>
      </c>
      <c r="J48" s="54"/>
    </row>
    <row r="49" ht="18.0" customHeight="1">
      <c r="A49" s="8" t="s">
        <v>195</v>
      </c>
      <c r="B49" s="8">
        <v>11.0</v>
      </c>
      <c r="C49" s="8">
        <v>2.0</v>
      </c>
      <c r="D49" s="8" t="s">
        <v>198</v>
      </c>
      <c r="J49" s="54"/>
    </row>
    <row r="50" ht="18.0" customHeight="1">
      <c r="A50" s="8" t="s">
        <v>195</v>
      </c>
      <c r="B50" s="8">
        <v>11.0</v>
      </c>
      <c r="C50" s="8">
        <v>2.0</v>
      </c>
      <c r="D50" s="8" t="s">
        <v>198</v>
      </c>
      <c r="J50" s="54"/>
    </row>
    <row r="51" ht="18.0" customHeight="1">
      <c r="A51" s="8" t="s">
        <v>195</v>
      </c>
      <c r="B51" s="8">
        <v>10.0</v>
      </c>
      <c r="C51" s="8">
        <v>3.0</v>
      </c>
      <c r="D51" s="8" t="s">
        <v>198</v>
      </c>
      <c r="J51" s="54"/>
    </row>
    <row r="52" ht="18.0" customHeight="1">
      <c r="A52" s="8" t="s">
        <v>195</v>
      </c>
      <c r="B52" s="8">
        <v>12.0</v>
      </c>
      <c r="C52" s="8">
        <v>3.0</v>
      </c>
      <c r="D52" s="8" t="s">
        <v>198</v>
      </c>
      <c r="J52" s="54"/>
    </row>
    <row r="53" ht="18.0" customHeight="1">
      <c r="A53" s="8" t="s">
        <v>195</v>
      </c>
      <c r="B53" s="8">
        <v>12.0</v>
      </c>
      <c r="C53" s="8">
        <v>3.0</v>
      </c>
      <c r="D53" s="8" t="s">
        <v>198</v>
      </c>
      <c r="J53" s="54"/>
    </row>
    <row r="54" ht="18.0" customHeight="1">
      <c r="A54" s="8" t="s">
        <v>195</v>
      </c>
      <c r="B54" s="8">
        <v>9.0</v>
      </c>
      <c r="C54" s="8">
        <v>3.0</v>
      </c>
      <c r="J54" s="54"/>
    </row>
    <row r="55" ht="18.0" customHeight="1">
      <c r="A55" s="8" t="s">
        <v>195</v>
      </c>
      <c r="B55" s="8">
        <v>9.0</v>
      </c>
      <c r="C55" s="8">
        <v>3.0</v>
      </c>
      <c r="D55" s="8" t="s">
        <v>200</v>
      </c>
      <c r="J55" s="54"/>
    </row>
    <row r="56" ht="18.0" customHeight="1">
      <c r="A56" s="8" t="s">
        <v>195</v>
      </c>
      <c r="B56" s="8">
        <v>10.0</v>
      </c>
      <c r="C56" s="8">
        <v>3.0</v>
      </c>
      <c r="D56" s="8" t="s">
        <v>199</v>
      </c>
      <c r="J56" s="54"/>
    </row>
    <row r="57" ht="18.0" customHeight="1">
      <c r="A57" s="8" t="s">
        <v>195</v>
      </c>
      <c r="B57" s="8">
        <v>8.0</v>
      </c>
      <c r="C57" s="8">
        <v>2.0</v>
      </c>
      <c r="D57" s="8" t="s">
        <v>198</v>
      </c>
      <c r="J57" s="54"/>
    </row>
    <row r="58" ht="18.0" customHeight="1">
      <c r="A58" s="8" t="s">
        <v>195</v>
      </c>
      <c r="B58" s="8">
        <v>11.0</v>
      </c>
      <c r="C58" s="8">
        <v>5.0</v>
      </c>
      <c r="D58" s="8" t="s">
        <v>198</v>
      </c>
      <c r="J58" s="54"/>
    </row>
    <row r="59" ht="18.0" customHeight="1">
      <c r="A59" s="8" t="s">
        <v>195</v>
      </c>
      <c r="B59" s="8">
        <v>10.0</v>
      </c>
      <c r="C59" s="8">
        <v>5.0</v>
      </c>
      <c r="D59" s="8" t="s">
        <v>198</v>
      </c>
      <c r="J59" s="54"/>
    </row>
    <row r="60" ht="18.0" customHeight="1">
      <c r="A60" s="8" t="s">
        <v>195</v>
      </c>
      <c r="B60" s="8">
        <v>11.0</v>
      </c>
      <c r="C60" s="8">
        <v>2.0</v>
      </c>
      <c r="D60" s="8" t="s">
        <v>198</v>
      </c>
      <c r="J60" s="54"/>
    </row>
    <row r="61" ht="18.0" customHeight="1">
      <c r="A61" s="8" t="s">
        <v>195</v>
      </c>
      <c r="B61" s="8">
        <v>10.0</v>
      </c>
      <c r="C61" s="8">
        <v>3.0</v>
      </c>
      <c r="D61" s="8" t="s">
        <v>198</v>
      </c>
      <c r="J61" s="54"/>
    </row>
    <row r="62" ht="18.0" customHeight="1">
      <c r="A62" s="8" t="s">
        <v>195</v>
      </c>
      <c r="B62" s="8">
        <v>6.0</v>
      </c>
      <c r="C62" s="8">
        <v>2.0</v>
      </c>
      <c r="D62" s="8" t="s">
        <v>198</v>
      </c>
      <c r="J62" s="54"/>
    </row>
    <row r="63" ht="18.0" customHeight="1">
      <c r="A63" s="8" t="s">
        <v>195</v>
      </c>
      <c r="B63" s="8">
        <v>8.0</v>
      </c>
      <c r="C63" s="8">
        <v>3.0</v>
      </c>
      <c r="D63" s="8" t="s">
        <v>198</v>
      </c>
      <c r="J63" s="54"/>
    </row>
    <row r="64" ht="18.0" customHeight="1">
      <c r="A64" s="8" t="s">
        <v>195</v>
      </c>
      <c r="B64" s="8">
        <v>10.0</v>
      </c>
      <c r="C64" s="8">
        <v>2.0</v>
      </c>
      <c r="D64" s="8" t="s">
        <v>199</v>
      </c>
      <c r="J64" s="54"/>
    </row>
    <row r="65" ht="18.0" customHeight="1">
      <c r="A65" s="8" t="s">
        <v>195</v>
      </c>
      <c r="B65" s="8">
        <v>9.0</v>
      </c>
      <c r="C65" s="8">
        <v>3.0</v>
      </c>
      <c r="D65" s="8" t="s">
        <v>198</v>
      </c>
      <c r="J65" s="54"/>
    </row>
    <row r="66" ht="18.0" customHeight="1">
      <c r="A66" s="8" t="s">
        <v>195</v>
      </c>
      <c r="B66" s="8">
        <v>10.0</v>
      </c>
      <c r="C66" s="8">
        <v>3.0</v>
      </c>
      <c r="D66" s="8" t="s">
        <v>198</v>
      </c>
      <c r="J66" s="54"/>
    </row>
    <row r="67" ht="18.0" customHeight="1">
      <c r="A67" s="8" t="s">
        <v>195</v>
      </c>
      <c r="B67" s="8">
        <v>7.0</v>
      </c>
      <c r="C67" s="8">
        <v>2.0</v>
      </c>
      <c r="J67" s="54"/>
    </row>
    <row r="68" ht="18.0" customHeight="1">
      <c r="A68" s="8" t="s">
        <v>195</v>
      </c>
      <c r="B68" s="8">
        <v>9.0</v>
      </c>
      <c r="C68" s="8">
        <v>2.0</v>
      </c>
      <c r="J68" s="54"/>
    </row>
    <row r="69" ht="18.0" customHeight="1">
      <c r="A69" s="8" t="s">
        <v>195</v>
      </c>
      <c r="B69" s="8">
        <v>7.0</v>
      </c>
      <c r="C69" s="8">
        <v>2.0</v>
      </c>
      <c r="D69" s="8" t="s">
        <v>199</v>
      </c>
      <c r="E69" s="14">
        <f t="shared" ref="E69:F69" si="1">average(B16:B69)</f>
        <v>9.466666667</v>
      </c>
      <c r="F69" s="14">
        <f t="shared" si="1"/>
        <v>2.777777778</v>
      </c>
      <c r="G69" s="22">
        <f>count(B16:B69)</f>
        <v>45</v>
      </c>
      <c r="J69" s="54"/>
    </row>
    <row r="70" ht="18.0" customHeight="1">
      <c r="A70" s="59" t="s">
        <v>201</v>
      </c>
      <c r="B70" s="59">
        <v>9.0</v>
      </c>
      <c r="C70" s="59">
        <v>5.0</v>
      </c>
      <c r="D70" s="59" t="s">
        <v>198</v>
      </c>
      <c r="E70" s="60"/>
      <c r="F70" s="60"/>
      <c r="G70" s="60"/>
      <c r="H70" s="60"/>
      <c r="I70" s="60"/>
      <c r="J70" s="61"/>
      <c r="K70" s="60"/>
      <c r="L70" s="60"/>
      <c r="M70" s="60"/>
      <c r="N70" s="60"/>
      <c r="O70" s="60"/>
      <c r="P70" s="60"/>
      <c r="Q70" s="60"/>
      <c r="R70" s="60"/>
      <c r="S70" s="60"/>
      <c r="T70" s="60"/>
      <c r="U70" s="60"/>
      <c r="V70" s="60"/>
      <c r="W70" s="60"/>
      <c r="X70" s="60"/>
      <c r="Y70" s="60"/>
      <c r="Z70" s="60"/>
    </row>
    <row r="71" ht="18.0" customHeight="1">
      <c r="A71" s="8" t="s">
        <v>201</v>
      </c>
      <c r="B71" s="8">
        <v>11.0</v>
      </c>
      <c r="C71" s="8">
        <v>4.0</v>
      </c>
      <c r="J71" s="54"/>
    </row>
    <row r="72" ht="18.0" customHeight="1">
      <c r="A72" s="8" t="s">
        <v>201</v>
      </c>
      <c r="B72" s="8">
        <v>8.0</v>
      </c>
      <c r="C72" s="8">
        <v>4.0</v>
      </c>
      <c r="D72" s="8" t="s">
        <v>198</v>
      </c>
      <c r="J72" s="54"/>
    </row>
    <row r="73" ht="18.0" customHeight="1">
      <c r="A73" s="8" t="s">
        <v>201</v>
      </c>
      <c r="B73" s="8">
        <v>6.0</v>
      </c>
      <c r="C73" s="8">
        <v>2.0</v>
      </c>
      <c r="D73" s="8" t="s">
        <v>199</v>
      </c>
      <c r="J73" s="54"/>
    </row>
    <row r="74" ht="18.0" customHeight="1">
      <c r="A74" s="8" t="s">
        <v>201</v>
      </c>
      <c r="B74" s="8" t="s">
        <v>202</v>
      </c>
      <c r="J74" s="54"/>
    </row>
    <row r="75" ht="18.0" customHeight="1">
      <c r="A75" s="8" t="s">
        <v>201</v>
      </c>
      <c r="B75" s="8">
        <v>7.0</v>
      </c>
      <c r="C75" s="8">
        <v>3.0</v>
      </c>
      <c r="D75" s="8" t="s">
        <v>197</v>
      </c>
      <c r="J75" s="54"/>
    </row>
    <row r="76" ht="18.0" customHeight="1">
      <c r="A76" s="8" t="s">
        <v>201</v>
      </c>
      <c r="B76" s="8">
        <v>7.0</v>
      </c>
      <c r="C76" s="8">
        <v>1.0</v>
      </c>
      <c r="D76" s="8" t="s">
        <v>198</v>
      </c>
      <c r="J76" s="54"/>
    </row>
    <row r="77" ht="18.0" customHeight="1">
      <c r="A77" s="8" t="s">
        <v>201</v>
      </c>
      <c r="B77" s="8">
        <v>9.5</v>
      </c>
      <c r="C77" s="8">
        <v>4.0</v>
      </c>
      <c r="D77" s="8" t="s">
        <v>199</v>
      </c>
      <c r="J77" s="54"/>
    </row>
    <row r="78" ht="18.0" customHeight="1">
      <c r="A78" s="8" t="s">
        <v>201</v>
      </c>
      <c r="B78" s="8">
        <v>10.5</v>
      </c>
      <c r="C78" s="8">
        <v>7.0</v>
      </c>
      <c r="D78" s="8" t="s">
        <v>199</v>
      </c>
      <c r="J78" s="54"/>
    </row>
    <row r="79" ht="18.0" customHeight="1">
      <c r="A79" s="8" t="s">
        <v>201</v>
      </c>
      <c r="B79" s="8">
        <v>4.5</v>
      </c>
      <c r="C79" s="8">
        <v>4.0</v>
      </c>
      <c r="D79" s="8" t="s">
        <v>198</v>
      </c>
      <c r="J79" s="54"/>
    </row>
    <row r="80" ht="18.0" customHeight="1">
      <c r="A80" s="8" t="s">
        <v>201</v>
      </c>
      <c r="B80" s="8">
        <v>7.0</v>
      </c>
      <c r="C80" s="8">
        <v>4.0</v>
      </c>
      <c r="D80" s="8" t="s">
        <v>199</v>
      </c>
      <c r="J80" s="54"/>
    </row>
    <row r="81" ht="18.0" customHeight="1">
      <c r="A81" s="8" t="s">
        <v>201</v>
      </c>
      <c r="B81" s="8">
        <v>8.0</v>
      </c>
      <c r="C81" s="8">
        <v>5.0</v>
      </c>
      <c r="D81" s="8" t="s">
        <v>199</v>
      </c>
      <c r="J81" s="54"/>
    </row>
    <row r="82" ht="18.0" customHeight="1">
      <c r="A82" s="8" t="s">
        <v>201</v>
      </c>
      <c r="B82" s="8">
        <v>7.0</v>
      </c>
      <c r="C82" s="8">
        <v>1.0</v>
      </c>
      <c r="D82" s="8" t="s">
        <v>198</v>
      </c>
      <c r="J82" s="54"/>
    </row>
    <row r="83" ht="18.0" customHeight="1">
      <c r="A83" s="62" t="s">
        <v>201</v>
      </c>
      <c r="B83" s="8">
        <v>5.5</v>
      </c>
      <c r="C83" s="8">
        <v>1.0</v>
      </c>
      <c r="D83" s="8" t="s">
        <v>198</v>
      </c>
      <c r="E83" s="14">
        <f t="shared" ref="E83:F83" si="2">AVERAGE(B70:B83)</f>
        <v>7.692307692</v>
      </c>
      <c r="F83" s="14">
        <f t="shared" si="2"/>
        <v>3.461538462</v>
      </c>
      <c r="G83" s="22">
        <f>count(B70:B83)-1</f>
        <v>12</v>
      </c>
      <c r="J83" s="54"/>
    </row>
    <row r="84" ht="18.0" customHeight="1">
      <c r="A84" s="8" t="s">
        <v>203</v>
      </c>
      <c r="B84" s="8">
        <v>19.0</v>
      </c>
      <c r="C84" s="8">
        <v>1.0</v>
      </c>
      <c r="D84" s="8" t="s">
        <v>198</v>
      </c>
      <c r="J84" s="54"/>
    </row>
    <row r="85" ht="18.0" customHeight="1">
      <c r="A85" s="8" t="s">
        <v>203</v>
      </c>
      <c r="B85" s="8">
        <v>16.0</v>
      </c>
      <c r="C85" s="8">
        <v>1.0</v>
      </c>
      <c r="D85" s="8" t="s">
        <v>198</v>
      </c>
      <c r="J85" s="54"/>
    </row>
    <row r="86" ht="18.0" customHeight="1">
      <c r="A86" s="8" t="s">
        <v>203</v>
      </c>
      <c r="B86" s="8">
        <v>6.5</v>
      </c>
      <c r="C86" s="8">
        <v>1.0</v>
      </c>
      <c r="J86" s="54"/>
    </row>
    <row r="87" ht="18.0" customHeight="1">
      <c r="A87" s="8" t="s">
        <v>203</v>
      </c>
      <c r="B87" s="8">
        <v>6.5</v>
      </c>
      <c r="C87" s="8">
        <v>1.0</v>
      </c>
      <c r="J87" s="54"/>
    </row>
    <row r="88" ht="18.0" customHeight="1">
      <c r="A88" s="8" t="s">
        <v>203</v>
      </c>
      <c r="B88" s="8">
        <v>10.5</v>
      </c>
      <c r="C88" s="8">
        <v>1.0</v>
      </c>
      <c r="D88" s="8" t="s">
        <v>197</v>
      </c>
      <c r="J88" s="54"/>
    </row>
    <row r="89" ht="18.0" customHeight="1">
      <c r="A89" s="8" t="s">
        <v>203</v>
      </c>
      <c r="B89" s="8">
        <v>23.5</v>
      </c>
      <c r="C89" s="8">
        <v>6.0</v>
      </c>
      <c r="D89" s="8" t="s">
        <v>204</v>
      </c>
      <c r="G89" s="8" t="s">
        <v>205</v>
      </c>
      <c r="J89" s="54"/>
    </row>
    <row r="90" ht="18.0" customHeight="1">
      <c r="A90" s="8" t="s">
        <v>203</v>
      </c>
      <c r="B90" s="8">
        <v>4.5</v>
      </c>
      <c r="C90" s="8">
        <v>2.0</v>
      </c>
      <c r="J90" s="54"/>
    </row>
    <row r="91" ht="18.0" customHeight="1">
      <c r="A91" s="8" t="s">
        <v>203</v>
      </c>
      <c r="B91" s="8">
        <v>9.5</v>
      </c>
      <c r="C91" s="8">
        <v>1.0</v>
      </c>
      <c r="J91" s="54"/>
    </row>
    <row r="92" ht="18.0" customHeight="1">
      <c r="A92" s="8" t="s">
        <v>203</v>
      </c>
      <c r="B92" s="8">
        <v>5.0</v>
      </c>
      <c r="C92" s="8">
        <v>1.0</v>
      </c>
      <c r="J92" s="54"/>
    </row>
    <row r="93" ht="18.0" customHeight="1">
      <c r="A93" s="8" t="s">
        <v>203</v>
      </c>
      <c r="B93" s="8">
        <v>3.0</v>
      </c>
      <c r="C93" s="8">
        <v>1.0</v>
      </c>
      <c r="J93" s="54"/>
    </row>
    <row r="94" ht="18.0" customHeight="1">
      <c r="A94" s="8" t="s">
        <v>203</v>
      </c>
      <c r="B94" s="8">
        <v>7.0</v>
      </c>
      <c r="C94" s="8">
        <v>1.0</v>
      </c>
      <c r="J94" s="54"/>
    </row>
    <row r="95" ht="18.0" customHeight="1">
      <c r="A95" s="62" t="s">
        <v>203</v>
      </c>
      <c r="B95" s="62">
        <v>5.0</v>
      </c>
      <c r="C95" s="62">
        <v>1.0</v>
      </c>
      <c r="D95" s="63"/>
      <c r="E95" s="64">
        <f t="shared" ref="E95:F95" si="3">average(B84:B95)</f>
        <v>9.666666667</v>
      </c>
      <c r="F95" s="64">
        <f t="shared" si="3"/>
        <v>1.5</v>
      </c>
      <c r="G95" s="63">
        <f>count(B84:B95)</f>
        <v>12</v>
      </c>
      <c r="H95" s="63"/>
      <c r="I95" s="63"/>
      <c r="J95" s="65"/>
      <c r="K95" s="63"/>
      <c r="L95" s="63"/>
      <c r="M95" s="63"/>
      <c r="N95" s="63"/>
      <c r="O95" s="63"/>
      <c r="P95" s="63"/>
      <c r="Q95" s="63"/>
      <c r="R95" s="63"/>
      <c r="S95" s="63"/>
      <c r="T95" s="63"/>
      <c r="U95" s="63"/>
      <c r="V95" s="63"/>
      <c r="W95" s="63"/>
      <c r="X95" s="63"/>
      <c r="Y95" s="63"/>
      <c r="Z95" s="63"/>
    </row>
    <row r="96" ht="18.0" customHeight="1">
      <c r="A96" s="8" t="s">
        <v>206</v>
      </c>
      <c r="B96" s="59">
        <v>9.0</v>
      </c>
      <c r="C96" s="59">
        <v>1.0</v>
      </c>
      <c r="D96" s="59" t="s">
        <v>199</v>
      </c>
      <c r="E96" s="60"/>
      <c r="F96" s="60"/>
      <c r="G96" s="60"/>
      <c r="H96" s="60"/>
      <c r="I96" s="60"/>
      <c r="J96" s="61"/>
      <c r="K96" s="60"/>
      <c r="L96" s="60"/>
      <c r="M96" s="60"/>
      <c r="N96" s="60"/>
      <c r="O96" s="60"/>
      <c r="P96" s="60"/>
      <c r="Q96" s="60"/>
      <c r="R96" s="60"/>
      <c r="S96" s="60"/>
      <c r="T96" s="60"/>
      <c r="U96" s="60"/>
      <c r="V96" s="60"/>
      <c r="W96" s="60"/>
      <c r="X96" s="60"/>
      <c r="Y96" s="60"/>
      <c r="Z96" s="60"/>
    </row>
    <row r="97" ht="18.0" customHeight="1">
      <c r="A97" s="8" t="s">
        <v>206</v>
      </c>
      <c r="B97" s="8" t="s">
        <v>202</v>
      </c>
      <c r="J97" s="54"/>
    </row>
    <row r="98" ht="18.0" customHeight="1">
      <c r="A98" s="8" t="s">
        <v>206</v>
      </c>
      <c r="B98" s="8" t="s">
        <v>202</v>
      </c>
      <c r="J98" s="54"/>
    </row>
    <row r="99" ht="18.0" customHeight="1">
      <c r="A99" s="8" t="s">
        <v>206</v>
      </c>
      <c r="B99" s="8" t="s">
        <v>202</v>
      </c>
      <c r="J99" s="54"/>
    </row>
    <row r="100" ht="18.0" customHeight="1">
      <c r="A100" s="8" t="s">
        <v>206</v>
      </c>
      <c r="B100" s="8" t="s">
        <v>202</v>
      </c>
      <c r="J100" s="54"/>
    </row>
    <row r="101" ht="18.0" customHeight="1">
      <c r="A101" s="8" t="s">
        <v>206</v>
      </c>
      <c r="B101" s="8" t="s">
        <v>202</v>
      </c>
      <c r="J101" s="54"/>
    </row>
    <row r="102" ht="18.0" customHeight="1">
      <c r="A102" s="8" t="s">
        <v>206</v>
      </c>
      <c r="B102" s="8" t="s">
        <v>202</v>
      </c>
      <c r="J102" s="54"/>
    </row>
    <row r="103" ht="18.0" customHeight="1">
      <c r="A103" s="8" t="s">
        <v>206</v>
      </c>
      <c r="B103" s="8" t="s">
        <v>202</v>
      </c>
      <c r="J103" s="54"/>
    </row>
    <row r="104" ht="18.0" customHeight="1">
      <c r="A104" s="8" t="s">
        <v>206</v>
      </c>
      <c r="B104" s="8" t="s">
        <v>202</v>
      </c>
      <c r="J104" s="54"/>
    </row>
    <row r="105" ht="18.0" customHeight="1">
      <c r="A105" s="8" t="s">
        <v>206</v>
      </c>
      <c r="B105" s="8" t="s">
        <v>202</v>
      </c>
      <c r="J105" s="54"/>
    </row>
    <row r="106" ht="18.0" customHeight="1">
      <c r="A106" s="8" t="s">
        <v>206</v>
      </c>
      <c r="B106" s="8">
        <v>9.0</v>
      </c>
      <c r="C106" s="8">
        <v>1.0</v>
      </c>
      <c r="D106" s="8" t="s">
        <v>199</v>
      </c>
      <c r="J106" s="54"/>
    </row>
    <row r="107" ht="18.0" customHeight="1">
      <c r="A107" s="8" t="s">
        <v>206</v>
      </c>
      <c r="B107" s="8">
        <v>6.0</v>
      </c>
      <c r="C107" s="8">
        <v>1.0</v>
      </c>
      <c r="D107" s="8" t="s">
        <v>197</v>
      </c>
      <c r="J107" s="54"/>
    </row>
    <row r="108" ht="18.0" customHeight="1">
      <c r="A108" s="62" t="s">
        <v>206</v>
      </c>
      <c r="B108" s="62">
        <v>13.5</v>
      </c>
      <c r="C108" s="62">
        <v>1.0</v>
      </c>
      <c r="D108" s="63"/>
      <c r="E108" s="66">
        <f t="shared" ref="E108:F108" si="4">AVERAGE(B96:B108)</f>
        <v>9.375</v>
      </c>
      <c r="F108" s="63">
        <f t="shared" si="4"/>
        <v>1</v>
      </c>
      <c r="G108" s="63"/>
      <c r="H108" s="63"/>
      <c r="I108" s="63"/>
      <c r="J108" s="65"/>
      <c r="K108" s="63"/>
      <c r="L108" s="63"/>
      <c r="M108" s="63"/>
      <c r="N108" s="63"/>
      <c r="O108" s="63"/>
      <c r="P108" s="63"/>
      <c r="Q108" s="63"/>
      <c r="R108" s="63"/>
      <c r="S108" s="63"/>
      <c r="T108" s="63"/>
      <c r="U108" s="63"/>
      <c r="V108" s="63"/>
      <c r="W108" s="63"/>
      <c r="X108" s="63"/>
      <c r="Y108" s="63"/>
      <c r="Z108" s="63"/>
    </row>
    <row r="109" ht="18.0" customHeight="1">
      <c r="A109" s="8" t="s">
        <v>207</v>
      </c>
      <c r="B109" s="8" t="s">
        <v>202</v>
      </c>
      <c r="J109" s="54"/>
    </row>
    <row r="110" ht="18.0" customHeight="1">
      <c r="A110" s="8" t="s">
        <v>207</v>
      </c>
      <c r="B110" s="8">
        <v>20.0</v>
      </c>
      <c r="J110" s="54"/>
    </row>
    <row r="111" ht="18.0" customHeight="1">
      <c r="A111" s="8" t="s">
        <v>207</v>
      </c>
      <c r="B111" s="8">
        <v>27.0</v>
      </c>
      <c r="J111" s="54"/>
    </row>
    <row r="112" ht="18.0" customHeight="1">
      <c r="A112" s="8" t="s">
        <v>207</v>
      </c>
      <c r="B112" s="8">
        <v>21.5</v>
      </c>
      <c r="J112" s="54"/>
    </row>
    <row r="113" ht="18.0" customHeight="1">
      <c r="A113" s="8" t="s">
        <v>207</v>
      </c>
      <c r="B113" s="8">
        <v>23.0</v>
      </c>
      <c r="J113" s="54"/>
    </row>
    <row r="114" ht="18.0" customHeight="1">
      <c r="A114" s="62" t="s">
        <v>207</v>
      </c>
      <c r="B114" s="62">
        <v>21.0</v>
      </c>
      <c r="C114" s="63"/>
      <c r="D114" s="63"/>
      <c r="E114" s="63">
        <f>AVERAGE(B110:B114)</f>
        <v>22.5</v>
      </c>
      <c r="F114" s="63"/>
      <c r="G114" s="63">
        <f>count(B109:B114)-1</f>
        <v>4</v>
      </c>
      <c r="H114" s="63"/>
      <c r="I114" s="63"/>
      <c r="J114" s="65"/>
      <c r="K114" s="63"/>
      <c r="L114" s="63"/>
      <c r="M114" s="63"/>
      <c r="N114" s="63"/>
      <c r="O114" s="63"/>
      <c r="P114" s="63"/>
      <c r="Q114" s="63"/>
      <c r="R114" s="63"/>
      <c r="S114" s="63"/>
      <c r="T114" s="63"/>
      <c r="U114" s="63"/>
      <c r="V114" s="63"/>
      <c r="W114" s="63"/>
      <c r="X114" s="63"/>
      <c r="Y114" s="63"/>
      <c r="Z114" s="63"/>
    </row>
    <row r="115" ht="18.0" customHeight="1">
      <c r="A115" s="8" t="s">
        <v>208</v>
      </c>
      <c r="B115" s="8">
        <v>24.5</v>
      </c>
      <c r="J115" s="54"/>
    </row>
    <row r="116" ht="18.0" customHeight="1">
      <c r="A116" s="62" t="s">
        <v>208</v>
      </c>
      <c r="B116" s="62">
        <v>16.0</v>
      </c>
      <c r="C116" s="63"/>
      <c r="D116" s="63"/>
      <c r="E116" s="63">
        <f>average(B115:B116)</f>
        <v>20.25</v>
      </c>
      <c r="F116" s="63"/>
      <c r="G116" s="62">
        <v>2.0</v>
      </c>
      <c r="H116" s="63"/>
      <c r="I116" s="63"/>
      <c r="J116" s="65"/>
      <c r="K116" s="63"/>
      <c r="L116" s="63"/>
      <c r="M116" s="63"/>
      <c r="N116" s="63"/>
      <c r="O116" s="63"/>
      <c r="P116" s="63"/>
      <c r="Q116" s="63"/>
      <c r="R116" s="63"/>
      <c r="S116" s="63"/>
      <c r="T116" s="63"/>
      <c r="U116" s="63"/>
      <c r="V116" s="63"/>
      <c r="W116" s="63"/>
      <c r="X116" s="63"/>
      <c r="Y116" s="63"/>
      <c r="Z116" s="63"/>
    </row>
    <row r="117" ht="18.0" customHeight="1">
      <c r="A117" s="8" t="s">
        <v>209</v>
      </c>
      <c r="B117" s="8">
        <v>19.0</v>
      </c>
      <c r="J117" s="54"/>
    </row>
    <row r="118" ht="18.0" customHeight="1">
      <c r="A118" s="8" t="s">
        <v>209</v>
      </c>
      <c r="B118" s="8">
        <v>6.5</v>
      </c>
      <c r="J118" s="54"/>
    </row>
    <row r="119" ht="18.0" customHeight="1">
      <c r="A119" s="8" t="s">
        <v>209</v>
      </c>
      <c r="B119" s="8">
        <v>12.0</v>
      </c>
      <c r="J119" s="54"/>
    </row>
    <row r="120" ht="18.0" customHeight="1">
      <c r="A120" s="8" t="s">
        <v>209</v>
      </c>
      <c r="B120" s="8" t="s">
        <v>196</v>
      </c>
      <c r="J120" s="54"/>
    </row>
    <row r="121" ht="18.0" customHeight="1">
      <c r="A121" s="8" t="s">
        <v>209</v>
      </c>
      <c r="B121" s="8">
        <v>26.0</v>
      </c>
      <c r="J121" s="54"/>
    </row>
    <row r="122" ht="18.0" customHeight="1">
      <c r="A122" s="8" t="s">
        <v>209</v>
      </c>
      <c r="B122" s="8" t="s">
        <v>196</v>
      </c>
      <c r="J122" s="54"/>
    </row>
    <row r="123" ht="18.0" customHeight="1">
      <c r="A123" s="8" t="s">
        <v>209</v>
      </c>
      <c r="B123" s="8">
        <v>3.5</v>
      </c>
      <c r="J123" s="54"/>
    </row>
    <row r="124" ht="18.0" customHeight="1">
      <c r="A124" s="8" t="s">
        <v>209</v>
      </c>
      <c r="B124" s="8" t="s">
        <v>196</v>
      </c>
      <c r="J124" s="54"/>
    </row>
    <row r="125" ht="18.0" customHeight="1">
      <c r="A125" s="62" t="s">
        <v>209</v>
      </c>
      <c r="B125" s="62" t="s">
        <v>196</v>
      </c>
      <c r="C125" s="63"/>
      <c r="D125" s="63"/>
      <c r="E125" s="63">
        <f>average(B117:B125)</f>
        <v>13.4</v>
      </c>
      <c r="F125" s="63"/>
      <c r="G125" s="62">
        <v>5.0</v>
      </c>
      <c r="H125" s="63"/>
      <c r="I125" s="63"/>
      <c r="J125" s="65"/>
      <c r="K125" s="63"/>
      <c r="L125" s="63"/>
      <c r="M125" s="63"/>
      <c r="N125" s="63"/>
      <c r="O125" s="63"/>
      <c r="P125" s="63"/>
      <c r="Q125" s="63"/>
      <c r="R125" s="63"/>
      <c r="S125" s="63"/>
      <c r="T125" s="63"/>
      <c r="U125" s="63"/>
      <c r="V125" s="63"/>
      <c r="W125" s="63"/>
      <c r="X125" s="63"/>
      <c r="Y125" s="63"/>
      <c r="Z125" s="63"/>
    </row>
    <row r="126" ht="18.0" customHeight="1">
      <c r="A126" s="8" t="s">
        <v>210</v>
      </c>
      <c r="B126" s="8">
        <v>6.0</v>
      </c>
      <c r="C126" s="8">
        <v>5.0</v>
      </c>
      <c r="D126" s="8" t="s">
        <v>198</v>
      </c>
      <c r="J126" s="54"/>
    </row>
    <row r="127" ht="18.0" customHeight="1">
      <c r="A127" s="8" t="s">
        <v>210</v>
      </c>
      <c r="B127" s="8">
        <v>9.5</v>
      </c>
      <c r="C127" s="8">
        <v>3.0</v>
      </c>
      <c r="D127" s="8" t="s">
        <v>198</v>
      </c>
      <c r="J127" s="54"/>
    </row>
    <row r="128" ht="18.0" customHeight="1">
      <c r="A128" s="8" t="s">
        <v>210</v>
      </c>
      <c r="B128" s="8">
        <v>11.0</v>
      </c>
      <c r="C128" s="8">
        <v>3.0</v>
      </c>
      <c r="J128" s="54"/>
    </row>
    <row r="129" ht="18.0" customHeight="1">
      <c r="A129" s="8" t="s">
        <v>210</v>
      </c>
      <c r="B129" s="8">
        <v>11.5</v>
      </c>
      <c r="C129" s="8">
        <v>3.0</v>
      </c>
      <c r="J129" s="54"/>
    </row>
    <row r="130" ht="18.0" customHeight="1">
      <c r="A130" s="8" t="s">
        <v>210</v>
      </c>
      <c r="B130" s="8">
        <v>8.5</v>
      </c>
      <c r="C130" s="8">
        <v>1.0</v>
      </c>
      <c r="D130" s="8" t="s">
        <v>198</v>
      </c>
      <c r="J130" s="54"/>
    </row>
    <row r="131" ht="18.0" customHeight="1">
      <c r="A131" s="8" t="s">
        <v>210</v>
      </c>
      <c r="B131" s="8">
        <v>7.0</v>
      </c>
      <c r="C131" s="8">
        <v>3.0</v>
      </c>
      <c r="D131" s="8" t="s">
        <v>198</v>
      </c>
      <c r="J131" s="54"/>
    </row>
    <row r="132" ht="18.0" customHeight="1">
      <c r="A132" s="8" t="s">
        <v>210</v>
      </c>
      <c r="B132" s="8">
        <v>4.5</v>
      </c>
      <c r="C132" s="8">
        <v>3.0</v>
      </c>
      <c r="D132" s="8" t="s">
        <v>198</v>
      </c>
      <c r="J132" s="54"/>
    </row>
    <row r="133" ht="18.0" customHeight="1">
      <c r="A133" s="8" t="s">
        <v>210</v>
      </c>
      <c r="B133" s="8">
        <v>7.5</v>
      </c>
      <c r="C133" s="8">
        <v>2.0</v>
      </c>
      <c r="D133" s="8" t="s">
        <v>198</v>
      </c>
      <c r="J133" s="54"/>
    </row>
    <row r="134" ht="18.0" customHeight="1">
      <c r="A134" s="8" t="s">
        <v>210</v>
      </c>
      <c r="B134" s="8">
        <v>4.0</v>
      </c>
      <c r="C134" s="8">
        <v>4.0</v>
      </c>
      <c r="D134" s="8" t="s">
        <v>198</v>
      </c>
      <c r="J134" s="54"/>
    </row>
    <row r="135" ht="18.0" customHeight="1">
      <c r="A135" s="8" t="s">
        <v>210</v>
      </c>
      <c r="B135" s="8">
        <v>13.5</v>
      </c>
      <c r="C135" s="8">
        <v>2.0</v>
      </c>
      <c r="D135" s="8" t="s">
        <v>198</v>
      </c>
      <c r="J135" s="54"/>
    </row>
    <row r="136" ht="18.0" customHeight="1">
      <c r="A136" s="8" t="s">
        <v>210</v>
      </c>
      <c r="B136" s="8">
        <v>7.0</v>
      </c>
      <c r="C136" s="8">
        <v>3.0</v>
      </c>
      <c r="D136" s="8" t="s">
        <v>198</v>
      </c>
      <c r="J136" s="54"/>
    </row>
    <row r="137" ht="18.0" customHeight="1">
      <c r="A137" s="8" t="s">
        <v>210</v>
      </c>
      <c r="B137" s="8">
        <v>8.5</v>
      </c>
      <c r="C137" s="8">
        <v>2.0</v>
      </c>
      <c r="J137" s="54"/>
    </row>
    <row r="138" ht="15.75" customHeight="1">
      <c r="A138" s="8" t="s">
        <v>210</v>
      </c>
      <c r="B138" s="8">
        <v>12.0</v>
      </c>
      <c r="C138" s="8">
        <v>3.0</v>
      </c>
      <c r="J138" s="54"/>
    </row>
    <row r="139" ht="15.75" customHeight="1">
      <c r="A139" s="8" t="s">
        <v>210</v>
      </c>
      <c r="B139" s="8">
        <v>7.5</v>
      </c>
      <c r="C139" s="8">
        <v>1.0</v>
      </c>
      <c r="J139" s="54"/>
    </row>
    <row r="140" ht="15.75" customHeight="1">
      <c r="A140" s="8" t="s">
        <v>210</v>
      </c>
      <c r="B140" s="8">
        <v>8.5</v>
      </c>
      <c r="C140" s="8">
        <v>1.0</v>
      </c>
      <c r="J140" s="54"/>
    </row>
    <row r="141" ht="15.75" customHeight="1">
      <c r="A141" s="8" t="s">
        <v>210</v>
      </c>
      <c r="B141" s="8">
        <v>12.5</v>
      </c>
      <c r="C141" s="8">
        <v>1.0</v>
      </c>
      <c r="J141" s="54"/>
    </row>
    <row r="142" ht="15.75" customHeight="1">
      <c r="A142" s="8" t="s">
        <v>210</v>
      </c>
      <c r="B142" s="8">
        <v>8.0</v>
      </c>
      <c r="C142" s="8">
        <v>4.0</v>
      </c>
      <c r="D142" s="8" t="s">
        <v>198</v>
      </c>
      <c r="J142" s="54"/>
    </row>
    <row r="143" ht="15.75" customHeight="1">
      <c r="A143" s="8" t="s">
        <v>210</v>
      </c>
      <c r="B143" s="8">
        <v>9.5</v>
      </c>
      <c r="C143" s="8">
        <v>3.0</v>
      </c>
      <c r="J143" s="54"/>
    </row>
    <row r="144" ht="15.75" customHeight="1">
      <c r="A144" s="8" t="s">
        <v>210</v>
      </c>
      <c r="B144" s="8" t="s">
        <v>202</v>
      </c>
      <c r="J144" s="54"/>
    </row>
    <row r="145" ht="15.75" customHeight="1">
      <c r="A145" s="8" t="s">
        <v>210</v>
      </c>
      <c r="B145" s="8">
        <v>10.0</v>
      </c>
      <c r="C145" s="8">
        <v>1.0</v>
      </c>
      <c r="J145" s="54"/>
    </row>
    <row r="146" ht="15.75" customHeight="1">
      <c r="A146" s="8" t="s">
        <v>210</v>
      </c>
      <c r="B146" s="8">
        <v>16.0</v>
      </c>
      <c r="C146" s="8">
        <v>1.0</v>
      </c>
      <c r="J146" s="54"/>
    </row>
    <row r="147" ht="15.75" customHeight="1">
      <c r="A147" s="8" t="s">
        <v>210</v>
      </c>
      <c r="B147" s="8">
        <v>9.0</v>
      </c>
      <c r="C147" s="8">
        <v>3.0</v>
      </c>
      <c r="J147" s="54"/>
    </row>
    <row r="148" ht="15.75" customHeight="1">
      <c r="A148" s="8" t="s">
        <v>210</v>
      </c>
      <c r="B148" s="8">
        <v>10.0</v>
      </c>
      <c r="C148" s="8">
        <v>4.0</v>
      </c>
      <c r="D148" s="8" t="s">
        <v>198</v>
      </c>
      <c r="J148" s="54"/>
    </row>
    <row r="149" ht="15.75" customHeight="1">
      <c r="A149" s="8" t="s">
        <v>210</v>
      </c>
      <c r="B149" s="8">
        <v>8.5</v>
      </c>
      <c r="C149" s="8">
        <v>2.0</v>
      </c>
      <c r="D149" s="8" t="s">
        <v>198</v>
      </c>
      <c r="J149" s="54"/>
    </row>
    <row r="150" ht="15.75" customHeight="1">
      <c r="A150" s="8" t="s">
        <v>210</v>
      </c>
      <c r="B150" s="8">
        <v>13.5</v>
      </c>
      <c r="C150" s="8">
        <v>3.0</v>
      </c>
      <c r="D150" s="8" t="s">
        <v>198</v>
      </c>
      <c r="J150" s="54"/>
    </row>
    <row r="151" ht="15.75" customHeight="1">
      <c r="A151" s="8" t="s">
        <v>210</v>
      </c>
      <c r="B151" s="8">
        <v>12.5</v>
      </c>
      <c r="C151" s="8">
        <v>3.0</v>
      </c>
      <c r="J151" s="54"/>
    </row>
    <row r="152" ht="15.75" customHeight="1">
      <c r="A152" s="8" t="s">
        <v>210</v>
      </c>
      <c r="B152" s="8">
        <v>11.5</v>
      </c>
      <c r="C152" s="8">
        <v>2.0</v>
      </c>
      <c r="D152" s="8" t="s">
        <v>198</v>
      </c>
      <c r="J152" s="54"/>
    </row>
    <row r="153" ht="15.75" customHeight="1">
      <c r="A153" s="8" t="s">
        <v>210</v>
      </c>
      <c r="B153" s="8">
        <v>6.5</v>
      </c>
      <c r="C153" s="8">
        <v>3.0</v>
      </c>
      <c r="D153" s="8" t="s">
        <v>198</v>
      </c>
      <c r="J153" s="54"/>
    </row>
    <row r="154" ht="15.75" customHeight="1">
      <c r="A154" s="8" t="s">
        <v>210</v>
      </c>
      <c r="B154" s="8">
        <v>13.0</v>
      </c>
      <c r="C154" s="8">
        <v>2.0</v>
      </c>
      <c r="D154" s="8" t="s">
        <v>198</v>
      </c>
      <c r="J154" s="54"/>
    </row>
    <row r="155" ht="15.75" customHeight="1">
      <c r="A155" s="8" t="s">
        <v>210</v>
      </c>
      <c r="B155" s="8">
        <v>5.0</v>
      </c>
      <c r="C155" s="8">
        <v>3.0</v>
      </c>
      <c r="D155" s="8" t="s">
        <v>198</v>
      </c>
      <c r="J155" s="54"/>
    </row>
    <row r="156" ht="15.75" customHeight="1">
      <c r="A156" s="8" t="s">
        <v>210</v>
      </c>
      <c r="B156" s="8">
        <v>13.0</v>
      </c>
      <c r="C156" s="8">
        <v>3.0</v>
      </c>
      <c r="D156" s="8" t="s">
        <v>198</v>
      </c>
      <c r="J156" s="54"/>
    </row>
    <row r="157" ht="15.75" customHeight="1">
      <c r="A157" s="8" t="s">
        <v>210</v>
      </c>
      <c r="B157" s="8">
        <v>9.0</v>
      </c>
      <c r="C157" s="8">
        <v>2.0</v>
      </c>
      <c r="D157" s="8" t="s">
        <v>198</v>
      </c>
      <c r="J157" s="54"/>
    </row>
    <row r="158" ht="15.75" customHeight="1">
      <c r="A158" s="8" t="s">
        <v>210</v>
      </c>
      <c r="B158" s="8">
        <v>10.5</v>
      </c>
      <c r="C158" s="8">
        <v>3.0</v>
      </c>
      <c r="D158" s="8" t="s">
        <v>198</v>
      </c>
      <c r="J158" s="54"/>
    </row>
    <row r="159" ht="15.75" customHeight="1">
      <c r="A159" s="8" t="s">
        <v>210</v>
      </c>
      <c r="B159" s="8">
        <v>10.0</v>
      </c>
      <c r="C159" s="8">
        <v>4.0</v>
      </c>
      <c r="D159" s="8" t="s">
        <v>198</v>
      </c>
      <c r="J159" s="54"/>
    </row>
    <row r="160" ht="15.75" customHeight="1">
      <c r="A160" s="62" t="s">
        <v>210</v>
      </c>
      <c r="B160" s="62">
        <v>12.0</v>
      </c>
      <c r="C160" s="62">
        <v>3.0</v>
      </c>
      <c r="D160" s="62" t="s">
        <v>198</v>
      </c>
      <c r="E160" s="64">
        <f t="shared" ref="E160:F160" si="5">AVERAGE(B126:B160)</f>
        <v>9.602941176</v>
      </c>
      <c r="F160" s="64">
        <f t="shared" si="5"/>
        <v>2.617647059</v>
      </c>
      <c r="G160" s="63">
        <f>count(B126:B160)</f>
        <v>34</v>
      </c>
      <c r="H160" s="63"/>
      <c r="I160" s="63"/>
      <c r="J160" s="65"/>
      <c r="K160" s="63"/>
      <c r="L160" s="63"/>
      <c r="M160" s="63"/>
      <c r="N160" s="63"/>
      <c r="O160" s="63"/>
      <c r="P160" s="63"/>
      <c r="Q160" s="63"/>
      <c r="R160" s="63"/>
      <c r="S160" s="63"/>
      <c r="T160" s="63"/>
      <c r="U160" s="63"/>
      <c r="V160" s="63"/>
      <c r="W160" s="63"/>
      <c r="X160" s="63"/>
      <c r="Y160" s="63"/>
      <c r="Z160" s="63"/>
    </row>
    <row r="161" ht="15.75" customHeight="1">
      <c r="A161" s="8" t="s">
        <v>211</v>
      </c>
      <c r="B161" s="8">
        <v>6.5</v>
      </c>
      <c r="C161" s="8">
        <v>2.0</v>
      </c>
      <c r="D161" s="8" t="s">
        <v>212</v>
      </c>
      <c r="J161" s="54"/>
    </row>
    <row r="162" ht="15.75" customHeight="1">
      <c r="A162" s="8" t="s">
        <v>211</v>
      </c>
      <c r="B162" s="8" t="s">
        <v>202</v>
      </c>
      <c r="J162" s="54"/>
    </row>
    <row r="163" ht="15.75" customHeight="1">
      <c r="A163" s="8" t="s">
        <v>211</v>
      </c>
      <c r="B163" s="8" t="s">
        <v>202</v>
      </c>
      <c r="J163" s="54"/>
    </row>
    <row r="164" ht="15.75" customHeight="1">
      <c r="A164" s="8" t="s">
        <v>211</v>
      </c>
      <c r="B164" s="8" t="s">
        <v>202</v>
      </c>
      <c r="J164" s="54"/>
    </row>
    <row r="165" ht="15.75" customHeight="1">
      <c r="A165" s="8" t="s">
        <v>211</v>
      </c>
      <c r="B165" s="8" t="s">
        <v>202</v>
      </c>
      <c r="J165" s="54"/>
    </row>
    <row r="166" ht="15.75" customHeight="1">
      <c r="A166" s="8" t="s">
        <v>211</v>
      </c>
      <c r="B166" s="8">
        <v>9.0</v>
      </c>
      <c r="C166" s="8">
        <v>1.0</v>
      </c>
      <c r="J166" s="54"/>
    </row>
    <row r="167" ht="15.75" customHeight="1">
      <c r="A167" s="8" t="s">
        <v>211</v>
      </c>
      <c r="B167" s="8" t="s">
        <v>202</v>
      </c>
      <c r="J167" s="54"/>
    </row>
    <row r="168" ht="15.75" customHeight="1">
      <c r="A168" s="8" t="s">
        <v>211</v>
      </c>
      <c r="B168" s="8" t="s">
        <v>202</v>
      </c>
      <c r="J168" s="54"/>
    </row>
    <row r="169" ht="15.75" customHeight="1">
      <c r="A169" s="8" t="s">
        <v>211</v>
      </c>
      <c r="B169" s="8">
        <v>9.5</v>
      </c>
      <c r="C169" s="8">
        <v>1.0</v>
      </c>
      <c r="J169" s="54"/>
    </row>
    <row r="170" ht="15.75" customHeight="1">
      <c r="A170" s="8" t="s">
        <v>211</v>
      </c>
      <c r="B170" s="8">
        <v>7.0</v>
      </c>
      <c r="C170" s="8">
        <v>1.0</v>
      </c>
      <c r="D170" s="8" t="s">
        <v>197</v>
      </c>
      <c r="J170" s="54"/>
    </row>
    <row r="171" ht="15.75" customHeight="1">
      <c r="A171" s="8" t="s">
        <v>211</v>
      </c>
      <c r="B171" s="8" t="s">
        <v>202</v>
      </c>
      <c r="J171" s="54"/>
    </row>
    <row r="172" ht="15.75" customHeight="1">
      <c r="A172" s="8" t="s">
        <v>211</v>
      </c>
      <c r="B172" s="8" t="s">
        <v>202</v>
      </c>
      <c r="J172" s="54"/>
    </row>
    <row r="173" ht="15.75" customHeight="1">
      <c r="A173" s="8" t="s">
        <v>211</v>
      </c>
      <c r="B173" s="8">
        <v>9.5</v>
      </c>
      <c r="C173" s="8">
        <v>5.0</v>
      </c>
      <c r="D173" s="8" t="s">
        <v>198</v>
      </c>
      <c r="J173" s="54"/>
    </row>
    <row r="174" ht="15.75" customHeight="1">
      <c r="A174" s="8" t="s">
        <v>211</v>
      </c>
      <c r="B174" s="8">
        <v>7.5</v>
      </c>
      <c r="C174" s="8">
        <v>1.0</v>
      </c>
      <c r="D174" s="8" t="s">
        <v>198</v>
      </c>
      <c r="J174" s="54"/>
    </row>
    <row r="175" ht="15.75" customHeight="1">
      <c r="A175" s="62" t="s">
        <v>211</v>
      </c>
      <c r="B175" s="62">
        <v>1.5</v>
      </c>
      <c r="C175" s="62">
        <v>3.0</v>
      </c>
      <c r="D175" s="63"/>
      <c r="E175" s="64">
        <f t="shared" ref="E175:F175" si="6">AVERAGE(B161:B175)</f>
        <v>7.214285714</v>
      </c>
      <c r="F175" s="64">
        <f t="shared" si="6"/>
        <v>2</v>
      </c>
      <c r="G175" s="62">
        <f>count(B161:B175)</f>
        <v>7</v>
      </c>
      <c r="H175" s="63"/>
      <c r="I175" s="63"/>
      <c r="J175" s="65"/>
      <c r="K175" s="63"/>
      <c r="L175" s="63"/>
      <c r="M175" s="63"/>
      <c r="N175" s="63"/>
      <c r="O175" s="63"/>
      <c r="P175" s="63"/>
      <c r="Q175" s="63"/>
      <c r="R175" s="63"/>
      <c r="S175" s="63"/>
      <c r="T175" s="63"/>
      <c r="U175" s="63"/>
      <c r="V175" s="63"/>
      <c r="W175" s="63"/>
      <c r="X175" s="63"/>
      <c r="Y175" s="63"/>
      <c r="Z175" s="63"/>
    </row>
    <row r="176" ht="15.75" customHeight="1">
      <c r="A176" s="8" t="s">
        <v>213</v>
      </c>
      <c r="B176" s="8">
        <v>2.5</v>
      </c>
      <c r="C176" s="8">
        <v>1.0</v>
      </c>
      <c r="J176" s="54"/>
    </row>
    <row r="177" ht="15.75" customHeight="1">
      <c r="A177" s="8" t="s">
        <v>213</v>
      </c>
      <c r="B177" s="8">
        <v>6.0</v>
      </c>
      <c r="C177" s="8">
        <v>1.0</v>
      </c>
      <c r="J177" s="54"/>
    </row>
    <row r="178" ht="15.75" customHeight="1">
      <c r="A178" s="8" t="s">
        <v>213</v>
      </c>
      <c r="B178" s="8">
        <v>6.0</v>
      </c>
      <c r="C178" s="8">
        <v>1.0</v>
      </c>
      <c r="J178" s="54"/>
    </row>
    <row r="179" ht="15.75" customHeight="1">
      <c r="A179" s="8" t="s">
        <v>213</v>
      </c>
      <c r="B179" s="8">
        <v>8.5</v>
      </c>
      <c r="C179" s="8">
        <v>1.0</v>
      </c>
      <c r="J179" s="54"/>
    </row>
    <row r="180" ht="15.75" customHeight="1">
      <c r="A180" s="8" t="s">
        <v>213</v>
      </c>
      <c r="B180" s="8">
        <v>8.0</v>
      </c>
      <c r="C180" s="8">
        <v>1.0</v>
      </c>
      <c r="J180" s="54"/>
    </row>
    <row r="181" ht="15.75" customHeight="1">
      <c r="A181" s="8" t="s">
        <v>213</v>
      </c>
      <c r="B181" s="8">
        <v>6.5</v>
      </c>
      <c r="C181" s="8">
        <v>1.0</v>
      </c>
      <c r="J181" s="54"/>
    </row>
    <row r="182" ht="15.75" customHeight="1">
      <c r="A182" s="8" t="s">
        <v>213</v>
      </c>
      <c r="B182" s="8">
        <v>6.5</v>
      </c>
      <c r="C182" s="8">
        <v>1.0</v>
      </c>
      <c r="J182" s="54"/>
    </row>
    <row r="183" ht="15.75" customHeight="1">
      <c r="A183" s="8" t="s">
        <v>213</v>
      </c>
      <c r="B183" s="8">
        <v>2.0</v>
      </c>
      <c r="C183" s="8">
        <v>1.0</v>
      </c>
      <c r="J183" s="54"/>
    </row>
    <row r="184" ht="15.75" customHeight="1">
      <c r="A184" s="8" t="s">
        <v>213</v>
      </c>
      <c r="B184" s="8">
        <v>4.0</v>
      </c>
      <c r="C184" s="8">
        <v>1.0</v>
      </c>
      <c r="J184" s="54"/>
    </row>
    <row r="185" ht="15.75" customHeight="1">
      <c r="A185" s="8" t="s">
        <v>213</v>
      </c>
      <c r="B185" s="8">
        <v>7.5</v>
      </c>
      <c r="C185" s="8">
        <v>1.0</v>
      </c>
      <c r="J185" s="54"/>
    </row>
    <row r="186" ht="15.75" customHeight="1">
      <c r="A186" s="8" t="s">
        <v>213</v>
      </c>
      <c r="B186" s="8" t="s">
        <v>196</v>
      </c>
      <c r="C186" s="8"/>
      <c r="J186" s="54"/>
    </row>
    <row r="187" ht="15.75" customHeight="1">
      <c r="A187" s="62" t="s">
        <v>213</v>
      </c>
      <c r="B187" s="62" t="s">
        <v>196</v>
      </c>
      <c r="C187" s="62"/>
      <c r="D187" s="63"/>
      <c r="E187" s="64">
        <f t="shared" ref="E187:F187" si="7">average(B176:B187)</f>
        <v>5.75</v>
      </c>
      <c r="F187" s="64">
        <f t="shared" si="7"/>
        <v>1</v>
      </c>
      <c r="G187" s="63">
        <f>count(B176:B187)</f>
        <v>10</v>
      </c>
      <c r="H187" s="63"/>
      <c r="I187" s="63"/>
      <c r="J187" s="65"/>
      <c r="K187" s="63"/>
      <c r="L187" s="63"/>
      <c r="M187" s="63"/>
      <c r="N187" s="63"/>
      <c r="O187" s="63"/>
      <c r="P187" s="63"/>
      <c r="Q187" s="63"/>
      <c r="R187" s="63"/>
      <c r="S187" s="63"/>
      <c r="T187" s="63"/>
      <c r="U187" s="63"/>
      <c r="V187" s="63"/>
      <c r="W187" s="63"/>
      <c r="X187" s="63"/>
      <c r="Y187" s="63"/>
      <c r="Z187" s="63"/>
    </row>
    <row r="188" ht="15.75" customHeight="1">
      <c r="A188" s="8" t="s">
        <v>214</v>
      </c>
      <c r="B188" s="8">
        <v>4.5</v>
      </c>
      <c r="C188" s="8">
        <v>1.0</v>
      </c>
      <c r="J188" s="54"/>
    </row>
    <row r="189" ht="15.75" customHeight="1">
      <c r="A189" s="8" t="s">
        <v>214</v>
      </c>
      <c r="B189" s="8">
        <v>2.5</v>
      </c>
      <c r="C189" s="8">
        <v>1.0</v>
      </c>
      <c r="J189" s="54"/>
    </row>
    <row r="190" ht="15.75" customHeight="1">
      <c r="A190" s="8" t="s">
        <v>214</v>
      </c>
      <c r="B190" s="8" t="s">
        <v>202</v>
      </c>
      <c r="J190" s="54"/>
    </row>
    <row r="191" ht="15.75" customHeight="1">
      <c r="A191" s="8" t="s">
        <v>214</v>
      </c>
      <c r="B191" s="8" t="s">
        <v>202</v>
      </c>
      <c r="J191" s="54"/>
    </row>
    <row r="192" ht="15.75" customHeight="1">
      <c r="A192" s="8" t="s">
        <v>214</v>
      </c>
      <c r="B192" s="8" t="s">
        <v>202</v>
      </c>
      <c r="J192" s="54"/>
    </row>
    <row r="193" ht="15.75" customHeight="1">
      <c r="A193" s="8" t="s">
        <v>214</v>
      </c>
      <c r="B193" s="8" t="s">
        <v>202</v>
      </c>
      <c r="J193" s="54"/>
    </row>
    <row r="194" ht="15.75" customHeight="1">
      <c r="A194" s="8" t="s">
        <v>214</v>
      </c>
      <c r="B194" s="8">
        <v>5.5</v>
      </c>
      <c r="C194" s="8">
        <v>1.0</v>
      </c>
      <c r="D194" s="8" t="s">
        <v>212</v>
      </c>
      <c r="J194" s="54"/>
    </row>
    <row r="195" ht="15.75" customHeight="1">
      <c r="A195" s="8" t="s">
        <v>214</v>
      </c>
      <c r="B195" s="8">
        <v>4.0</v>
      </c>
      <c r="C195" s="8">
        <v>1.0</v>
      </c>
      <c r="J195" s="54"/>
    </row>
    <row r="196" ht="15.75" customHeight="1">
      <c r="A196" s="8" t="s">
        <v>214</v>
      </c>
      <c r="B196" s="8" t="s">
        <v>202</v>
      </c>
      <c r="J196" s="54"/>
    </row>
    <row r="197" ht="15.75" customHeight="1">
      <c r="A197" s="8" t="s">
        <v>214</v>
      </c>
      <c r="B197" s="8">
        <v>2.0</v>
      </c>
      <c r="C197" s="8">
        <v>1.0</v>
      </c>
      <c r="J197" s="54"/>
    </row>
    <row r="198" ht="15.75" customHeight="1">
      <c r="A198" s="62" t="s">
        <v>214</v>
      </c>
      <c r="B198" s="62">
        <v>4.5</v>
      </c>
      <c r="C198" s="62">
        <v>1.0</v>
      </c>
      <c r="D198" s="63"/>
      <c r="E198" s="66">
        <f>AVERAGE(B188:B198)</f>
        <v>3.833333333</v>
      </c>
      <c r="F198" s="66">
        <f>average(C188:C1877)</f>
        <v>1</v>
      </c>
      <c r="G198" s="62" t="s">
        <v>215</v>
      </c>
      <c r="H198" s="63"/>
      <c r="I198" s="63"/>
      <c r="J198" s="65"/>
      <c r="K198" s="63"/>
      <c r="L198" s="63"/>
      <c r="M198" s="63"/>
      <c r="N198" s="63"/>
      <c r="O198" s="63"/>
      <c r="P198" s="63"/>
      <c r="Q198" s="63"/>
      <c r="R198" s="63"/>
      <c r="S198" s="63"/>
      <c r="T198" s="63"/>
      <c r="U198" s="63"/>
      <c r="V198" s="63"/>
      <c r="W198" s="63"/>
      <c r="X198" s="63"/>
      <c r="Y198" s="63"/>
      <c r="Z198" s="63"/>
    </row>
    <row r="199" ht="15.75" customHeight="1">
      <c r="A199" s="8" t="s">
        <v>216</v>
      </c>
      <c r="B199" s="8">
        <v>16.5</v>
      </c>
      <c r="J199" s="54"/>
    </row>
    <row r="200" ht="15.75" customHeight="1">
      <c r="A200" s="8" t="s">
        <v>216</v>
      </c>
      <c r="B200" s="8">
        <v>16.5</v>
      </c>
      <c r="J200" s="54"/>
    </row>
    <row r="201" ht="15.75" customHeight="1">
      <c r="A201" s="8" t="s">
        <v>216</v>
      </c>
      <c r="B201" s="8">
        <v>16.5</v>
      </c>
      <c r="J201" s="54"/>
    </row>
    <row r="202" ht="15.75" customHeight="1">
      <c r="A202" s="8" t="s">
        <v>216</v>
      </c>
      <c r="B202" s="8">
        <v>17.0</v>
      </c>
      <c r="J202" s="54"/>
    </row>
    <row r="203" ht="15.75" customHeight="1">
      <c r="A203" s="8" t="s">
        <v>216</v>
      </c>
      <c r="B203" s="8" t="s">
        <v>196</v>
      </c>
      <c r="J203" s="54"/>
    </row>
    <row r="204" ht="15.75" customHeight="1">
      <c r="A204" s="8" t="s">
        <v>216</v>
      </c>
      <c r="B204" s="8" t="s">
        <v>196</v>
      </c>
      <c r="J204" s="54"/>
    </row>
    <row r="205" ht="15.75" customHeight="1">
      <c r="A205" s="62" t="s">
        <v>216</v>
      </c>
      <c r="B205" s="62">
        <v>17.0</v>
      </c>
      <c r="C205" s="63"/>
      <c r="D205" s="63"/>
      <c r="E205" s="63">
        <f>average(B199:B205)</f>
        <v>16.7</v>
      </c>
      <c r="F205" s="63"/>
      <c r="G205" s="63">
        <f>count(B199:B205)</f>
        <v>5</v>
      </c>
      <c r="H205" s="63"/>
      <c r="I205" s="63"/>
      <c r="J205" s="65"/>
      <c r="K205" s="63"/>
      <c r="L205" s="63"/>
      <c r="M205" s="63"/>
      <c r="N205" s="63"/>
      <c r="O205" s="63"/>
      <c r="P205" s="63"/>
      <c r="Q205" s="63"/>
      <c r="R205" s="63"/>
      <c r="S205" s="63"/>
      <c r="T205" s="63"/>
      <c r="U205" s="63"/>
      <c r="V205" s="63"/>
      <c r="W205" s="63"/>
      <c r="X205" s="63"/>
      <c r="Y205" s="63"/>
      <c r="Z205" s="63"/>
    </row>
    <row r="206" ht="15.75" customHeight="1">
      <c r="A206" s="8" t="s">
        <v>217</v>
      </c>
      <c r="B206" s="8" t="s">
        <v>202</v>
      </c>
      <c r="J206" s="54"/>
    </row>
    <row r="207" ht="15.75" customHeight="1">
      <c r="A207" s="8" t="s">
        <v>217</v>
      </c>
      <c r="B207" s="8" t="s">
        <v>202</v>
      </c>
      <c r="J207" s="54"/>
    </row>
    <row r="208" ht="15.75" customHeight="1">
      <c r="A208" s="8" t="s">
        <v>217</v>
      </c>
      <c r="B208" s="8">
        <v>12.0</v>
      </c>
      <c r="J208" s="54"/>
    </row>
    <row r="209" ht="15.75" customHeight="1">
      <c r="A209" s="8" t="s">
        <v>217</v>
      </c>
      <c r="B209" s="8" t="s">
        <v>202</v>
      </c>
      <c r="J209" s="54"/>
    </row>
    <row r="210" ht="15.75" customHeight="1">
      <c r="A210" s="62" t="s">
        <v>217</v>
      </c>
      <c r="B210" s="62" t="s">
        <v>202</v>
      </c>
      <c r="C210" s="63"/>
      <c r="D210" s="63"/>
      <c r="E210" s="63">
        <f>AVERAGE(B206:B210)</f>
        <v>12</v>
      </c>
      <c r="F210" s="63"/>
      <c r="G210" s="63">
        <f>count(B206:B210)</f>
        <v>1</v>
      </c>
      <c r="H210" s="63"/>
      <c r="I210" s="63"/>
      <c r="J210" s="65"/>
      <c r="K210" s="63"/>
      <c r="L210" s="63"/>
      <c r="M210" s="63"/>
      <c r="N210" s="63"/>
      <c r="O210" s="63"/>
      <c r="P210" s="63"/>
      <c r="Q210" s="63"/>
      <c r="R210" s="63"/>
      <c r="S210" s="63"/>
      <c r="T210" s="63"/>
      <c r="U210" s="63"/>
      <c r="V210" s="63"/>
      <c r="W210" s="63"/>
      <c r="X210" s="63"/>
      <c r="Y210" s="63"/>
      <c r="Z210" s="63"/>
    </row>
    <row r="211" ht="15.75" customHeight="1">
      <c r="A211" s="8" t="s">
        <v>218</v>
      </c>
      <c r="B211" s="8">
        <v>1.0</v>
      </c>
      <c r="J211" s="54"/>
    </row>
    <row r="212" ht="15.75" customHeight="1">
      <c r="A212" s="8" t="s">
        <v>218</v>
      </c>
      <c r="B212" s="8" t="s">
        <v>202</v>
      </c>
      <c r="J212" s="54"/>
    </row>
    <row r="213" ht="15.75" customHeight="1">
      <c r="A213" s="62" t="s">
        <v>218</v>
      </c>
      <c r="B213" s="62" t="s">
        <v>202</v>
      </c>
      <c r="C213" s="63"/>
      <c r="D213" s="63"/>
      <c r="E213" s="63"/>
      <c r="F213" s="63"/>
      <c r="G213" s="63"/>
      <c r="H213" s="63"/>
      <c r="I213" s="63"/>
      <c r="J213" s="65"/>
      <c r="K213" s="63"/>
      <c r="L213" s="63"/>
      <c r="M213" s="63"/>
      <c r="N213" s="63"/>
      <c r="O213" s="63"/>
      <c r="P213" s="63"/>
      <c r="Q213" s="63"/>
      <c r="R213" s="63"/>
      <c r="S213" s="63"/>
      <c r="T213" s="63"/>
      <c r="U213" s="63"/>
      <c r="V213" s="63"/>
      <c r="W213" s="63"/>
      <c r="X213" s="63"/>
      <c r="Y213" s="63"/>
      <c r="Z213" s="63"/>
    </row>
    <row r="214" ht="15.75" customHeight="1">
      <c r="A214" s="8" t="s">
        <v>219</v>
      </c>
      <c r="B214" s="8" t="s">
        <v>202</v>
      </c>
      <c r="J214" s="54"/>
    </row>
    <row r="215" ht="15.75" customHeight="1">
      <c r="A215" s="8" t="s">
        <v>219</v>
      </c>
      <c r="B215" s="8">
        <v>1.0</v>
      </c>
      <c r="C215" s="8">
        <v>1.0</v>
      </c>
      <c r="J215" s="54"/>
    </row>
    <row r="216" ht="15.75" customHeight="1">
      <c r="A216" s="8" t="s">
        <v>219</v>
      </c>
      <c r="B216" s="8">
        <v>2.5</v>
      </c>
      <c r="C216" s="8">
        <v>1.0</v>
      </c>
      <c r="J216" s="54"/>
    </row>
    <row r="217" ht="15.75" customHeight="1">
      <c r="A217" s="8" t="s">
        <v>219</v>
      </c>
      <c r="B217" s="8">
        <v>2.5</v>
      </c>
      <c r="C217" s="8">
        <v>1.0</v>
      </c>
      <c r="J217" s="54"/>
    </row>
    <row r="218" ht="15.75" customHeight="1">
      <c r="A218" s="8" t="s">
        <v>219</v>
      </c>
      <c r="B218" s="8">
        <v>3.5</v>
      </c>
      <c r="C218" s="8">
        <v>1.0</v>
      </c>
      <c r="J218" s="54"/>
    </row>
    <row r="219" ht="15.75" customHeight="1">
      <c r="A219" s="8" t="s">
        <v>219</v>
      </c>
      <c r="B219" s="8">
        <v>2.0</v>
      </c>
      <c r="C219" s="8">
        <v>1.0</v>
      </c>
      <c r="J219" s="54"/>
    </row>
    <row r="220" ht="15.75" customHeight="1">
      <c r="A220" s="8" t="s">
        <v>219</v>
      </c>
      <c r="B220" s="8">
        <v>0.5</v>
      </c>
      <c r="C220" s="8">
        <v>1.0</v>
      </c>
      <c r="J220" s="54"/>
    </row>
    <row r="221" ht="15.75" customHeight="1">
      <c r="A221" s="8" t="s">
        <v>219</v>
      </c>
      <c r="B221" s="8">
        <v>0.5</v>
      </c>
      <c r="C221" s="8">
        <v>1.0</v>
      </c>
      <c r="D221" s="14"/>
      <c r="E221" s="14"/>
      <c r="J221" s="54"/>
    </row>
    <row r="222" ht="15.75" customHeight="1">
      <c r="A222" s="8" t="s">
        <v>219</v>
      </c>
      <c r="B222" s="8">
        <v>2.5</v>
      </c>
      <c r="C222" s="8">
        <v>1.0</v>
      </c>
      <c r="D222" s="14"/>
      <c r="E222" s="14"/>
      <c r="J222" s="54"/>
    </row>
    <row r="223" ht="15.75" customHeight="1">
      <c r="A223" s="8" t="s">
        <v>219</v>
      </c>
      <c r="B223" s="8">
        <v>3.0</v>
      </c>
      <c r="C223" s="8">
        <v>1.0</v>
      </c>
      <c r="D223" s="14"/>
      <c r="E223" s="14"/>
      <c r="J223" s="54"/>
    </row>
    <row r="224" ht="15.75" customHeight="1">
      <c r="A224" s="8" t="s">
        <v>219</v>
      </c>
      <c r="B224" s="8">
        <v>1.5</v>
      </c>
      <c r="C224" s="8">
        <v>1.0</v>
      </c>
      <c r="D224" s="14"/>
      <c r="E224" s="14"/>
      <c r="J224" s="54"/>
    </row>
    <row r="225" ht="15.75" customHeight="1">
      <c r="A225" s="62" t="s">
        <v>219</v>
      </c>
      <c r="B225" s="62">
        <v>1.5</v>
      </c>
      <c r="C225" s="62">
        <v>1.0</v>
      </c>
      <c r="D225" s="64"/>
      <c r="E225" s="64">
        <f t="shared" ref="E225:F225" si="8">average(B214:B225)</f>
        <v>1.909090909</v>
      </c>
      <c r="F225" s="64">
        <f t="shared" si="8"/>
        <v>1</v>
      </c>
      <c r="G225" s="63">
        <f>count(B214:B225)</f>
        <v>11</v>
      </c>
      <c r="I225" s="63"/>
      <c r="J225" s="63"/>
      <c r="K225" s="65"/>
      <c r="L225" s="63"/>
      <c r="M225" s="63"/>
      <c r="N225" s="63"/>
      <c r="O225" s="63"/>
      <c r="P225" s="63"/>
      <c r="Q225" s="63"/>
      <c r="R225" s="63"/>
      <c r="S225" s="63"/>
      <c r="T225" s="63"/>
      <c r="U225" s="63"/>
      <c r="V225" s="63"/>
      <c r="W225" s="63"/>
      <c r="X225" s="63"/>
      <c r="Y225" s="63"/>
      <c r="Z225" s="63"/>
      <c r="AA225" s="63"/>
    </row>
    <row r="226" ht="15.75" customHeight="1">
      <c r="A226" s="8" t="s">
        <v>220</v>
      </c>
      <c r="B226" s="8" t="s">
        <v>196</v>
      </c>
      <c r="J226" s="54"/>
    </row>
    <row r="227" ht="15.75" customHeight="1">
      <c r="A227" s="8" t="s">
        <v>220</v>
      </c>
      <c r="B227" s="8" t="s">
        <v>196</v>
      </c>
      <c r="J227" s="54"/>
    </row>
    <row r="228" ht="15.75" customHeight="1">
      <c r="A228" s="8" t="s">
        <v>220</v>
      </c>
      <c r="B228" s="8" t="s">
        <v>196</v>
      </c>
      <c r="J228" s="54"/>
    </row>
    <row r="229" ht="15.75" customHeight="1">
      <c r="A229" s="8" t="s">
        <v>220</v>
      </c>
      <c r="B229" s="8" t="s">
        <v>196</v>
      </c>
      <c r="J229" s="54"/>
    </row>
    <row r="230" ht="15.75" customHeight="1">
      <c r="A230" s="8" t="s">
        <v>220</v>
      </c>
      <c r="B230" s="8" t="s">
        <v>196</v>
      </c>
      <c r="J230" s="54"/>
    </row>
    <row r="231" ht="15.75" customHeight="1">
      <c r="A231" s="8" t="s">
        <v>220</v>
      </c>
      <c r="B231" s="8" t="s">
        <v>196</v>
      </c>
      <c r="J231" s="54"/>
    </row>
    <row r="232" ht="15.75" customHeight="1">
      <c r="A232" s="8" t="s">
        <v>220</v>
      </c>
      <c r="B232" s="8" t="s">
        <v>196</v>
      </c>
      <c r="J232" s="54"/>
    </row>
    <row r="233" ht="15.75" customHeight="1">
      <c r="A233" s="8" t="s">
        <v>220</v>
      </c>
      <c r="B233" s="8" t="s">
        <v>196</v>
      </c>
      <c r="J233" s="54"/>
    </row>
    <row r="234" ht="15.75" customHeight="1">
      <c r="A234" s="8" t="s">
        <v>220</v>
      </c>
      <c r="B234" s="8">
        <v>2.0</v>
      </c>
      <c r="C234" s="8">
        <v>1.0</v>
      </c>
      <c r="J234" s="54"/>
    </row>
    <row r="235" ht="15.75" customHeight="1">
      <c r="A235" s="8" t="s">
        <v>220</v>
      </c>
      <c r="B235" s="8">
        <v>2.0</v>
      </c>
      <c r="C235" s="8">
        <v>1.0</v>
      </c>
      <c r="J235" s="54"/>
    </row>
    <row r="236" ht="15.75" customHeight="1">
      <c r="A236" s="8" t="s">
        <v>220</v>
      </c>
      <c r="B236" s="8" t="s">
        <v>196</v>
      </c>
      <c r="J236" s="54"/>
    </row>
    <row r="237" ht="15.75" customHeight="1">
      <c r="A237" s="8" t="s">
        <v>220</v>
      </c>
      <c r="B237" s="8" t="s">
        <v>196</v>
      </c>
      <c r="J237" s="54"/>
    </row>
    <row r="238" ht="15.75" customHeight="1">
      <c r="A238" s="8" t="s">
        <v>220</v>
      </c>
      <c r="B238" s="8" t="s">
        <v>196</v>
      </c>
      <c r="J238" s="54"/>
    </row>
    <row r="239" ht="15.75" customHeight="1">
      <c r="A239" s="8" t="s">
        <v>220</v>
      </c>
      <c r="B239" s="8">
        <v>2.5</v>
      </c>
      <c r="C239" s="8">
        <v>1.0</v>
      </c>
      <c r="J239" s="54"/>
    </row>
    <row r="240" ht="15.75" customHeight="1">
      <c r="A240" s="8" t="s">
        <v>220</v>
      </c>
      <c r="B240" s="8">
        <v>2.0</v>
      </c>
      <c r="C240" s="8">
        <v>1.0</v>
      </c>
      <c r="J240" s="54"/>
    </row>
    <row r="241" ht="15.75" customHeight="1">
      <c r="A241" s="8" t="s">
        <v>220</v>
      </c>
      <c r="B241" s="8">
        <v>4.0</v>
      </c>
      <c r="C241" s="8">
        <v>1.0</v>
      </c>
      <c r="J241" s="54"/>
    </row>
    <row r="242" ht="15.75" customHeight="1">
      <c r="A242" s="8" t="s">
        <v>220</v>
      </c>
      <c r="B242" s="8">
        <v>4.0</v>
      </c>
      <c r="C242" s="8">
        <v>1.0</v>
      </c>
      <c r="J242" s="54"/>
    </row>
    <row r="243" ht="15.75" customHeight="1">
      <c r="A243" s="8" t="s">
        <v>220</v>
      </c>
      <c r="B243" s="8">
        <v>2.0</v>
      </c>
      <c r="C243" s="8">
        <v>1.0</v>
      </c>
      <c r="J243" s="54"/>
    </row>
    <row r="244" ht="15.75" customHeight="1">
      <c r="A244" s="8" t="s">
        <v>220</v>
      </c>
      <c r="B244" s="8">
        <v>4.0</v>
      </c>
      <c r="C244" s="8">
        <v>1.0</v>
      </c>
      <c r="J244" s="54"/>
    </row>
    <row r="245" ht="15.75" customHeight="1">
      <c r="A245" s="8" t="s">
        <v>220</v>
      </c>
      <c r="B245" s="8">
        <v>4.0</v>
      </c>
      <c r="C245" s="8">
        <v>1.0</v>
      </c>
      <c r="D245" s="27"/>
      <c r="J245" s="54"/>
    </row>
    <row r="246" ht="15.75" customHeight="1">
      <c r="A246" s="8" t="s">
        <v>220</v>
      </c>
      <c r="B246" s="8">
        <v>1.0</v>
      </c>
      <c r="C246" s="8">
        <v>1.0</v>
      </c>
      <c r="J246" s="54"/>
    </row>
    <row r="247" ht="15.75" customHeight="1">
      <c r="A247" s="8" t="s">
        <v>220</v>
      </c>
      <c r="B247" s="8">
        <v>1.0</v>
      </c>
      <c r="C247" s="8">
        <v>1.0</v>
      </c>
      <c r="J247" s="54"/>
    </row>
    <row r="248" ht="15.75" customHeight="1">
      <c r="A248" s="8" t="s">
        <v>220</v>
      </c>
      <c r="B248" s="8">
        <v>1.5</v>
      </c>
      <c r="C248" s="8">
        <v>1.0</v>
      </c>
      <c r="J248" s="54"/>
    </row>
    <row r="249" ht="15.75" customHeight="1">
      <c r="A249" s="62" t="s">
        <v>220</v>
      </c>
      <c r="B249" s="62">
        <v>1.0</v>
      </c>
      <c r="C249" s="62">
        <v>1.0</v>
      </c>
      <c r="D249" s="66">
        <f t="shared" ref="D249:E249" si="9">average(B226:B249)</f>
        <v>2.384615385</v>
      </c>
      <c r="E249" s="66">
        <f t="shared" si="9"/>
        <v>1</v>
      </c>
      <c r="F249" s="63"/>
      <c r="G249" s="63"/>
      <c r="H249" s="63"/>
      <c r="I249" s="63"/>
      <c r="J249" s="65"/>
      <c r="K249" s="63"/>
      <c r="L249" s="63"/>
      <c r="M249" s="63"/>
      <c r="N249" s="63"/>
      <c r="O249" s="63"/>
      <c r="P249" s="63"/>
      <c r="Q249" s="63"/>
      <c r="R249" s="63"/>
      <c r="S249" s="63"/>
      <c r="T249" s="63"/>
      <c r="U249" s="63"/>
      <c r="V249" s="63"/>
      <c r="W249" s="63"/>
      <c r="X249" s="63"/>
      <c r="Y249" s="63"/>
      <c r="Z249" s="63"/>
    </row>
    <row r="250" ht="15.75" customHeight="1">
      <c r="A250" s="8" t="s">
        <v>221</v>
      </c>
      <c r="B250" s="8">
        <v>3.0</v>
      </c>
      <c r="J250" s="54"/>
    </row>
    <row r="251" ht="15.75" customHeight="1">
      <c r="A251" s="8" t="s">
        <v>221</v>
      </c>
      <c r="B251" s="8">
        <v>6.0</v>
      </c>
      <c r="J251" s="54"/>
    </row>
    <row r="252" ht="15.75" customHeight="1">
      <c r="A252" s="8" t="s">
        <v>221</v>
      </c>
      <c r="B252" s="8">
        <v>6.0</v>
      </c>
      <c r="J252" s="54"/>
    </row>
    <row r="253" ht="15.75" customHeight="1">
      <c r="A253" s="8" t="s">
        <v>221</v>
      </c>
      <c r="B253" s="8">
        <v>7.0</v>
      </c>
      <c r="J253" s="54"/>
    </row>
    <row r="254" ht="15.75" customHeight="1">
      <c r="A254" s="8" t="s">
        <v>221</v>
      </c>
      <c r="B254" s="8">
        <v>4.5</v>
      </c>
      <c r="J254" s="54"/>
    </row>
    <row r="255" ht="15.75" customHeight="1">
      <c r="A255" s="8" t="s">
        <v>221</v>
      </c>
      <c r="B255" s="8">
        <v>8.0</v>
      </c>
      <c r="J255" s="54"/>
    </row>
    <row r="256" ht="15.75" customHeight="1">
      <c r="A256" s="8" t="s">
        <v>221</v>
      </c>
      <c r="B256" s="8">
        <v>5.0</v>
      </c>
      <c r="J256" s="54"/>
    </row>
    <row r="257" ht="15.75" customHeight="1">
      <c r="A257" s="8" t="s">
        <v>221</v>
      </c>
      <c r="B257" s="8">
        <v>4.0</v>
      </c>
      <c r="J257" s="54"/>
    </row>
    <row r="258" ht="15.75" customHeight="1">
      <c r="A258" s="8" t="s">
        <v>221</v>
      </c>
      <c r="B258" s="8">
        <v>7.0</v>
      </c>
      <c r="J258" s="54"/>
    </row>
    <row r="259" ht="15.75" customHeight="1">
      <c r="A259" s="8" t="s">
        <v>221</v>
      </c>
      <c r="B259" s="8">
        <v>6.5</v>
      </c>
      <c r="J259" s="54"/>
    </row>
    <row r="260" ht="15.75" customHeight="1">
      <c r="A260" s="8" t="s">
        <v>221</v>
      </c>
      <c r="B260" s="8">
        <v>4.5</v>
      </c>
      <c r="J260" s="54"/>
    </row>
    <row r="261" ht="17.25" customHeight="1">
      <c r="A261" s="8" t="s">
        <v>221</v>
      </c>
      <c r="B261" s="8">
        <v>6.0</v>
      </c>
      <c r="J261" s="54"/>
    </row>
    <row r="262" ht="17.25" customHeight="1">
      <c r="A262" s="8" t="s">
        <v>221</v>
      </c>
      <c r="B262" s="8">
        <v>4.5</v>
      </c>
      <c r="J262" s="54"/>
    </row>
    <row r="263" ht="17.25" customHeight="1">
      <c r="A263" s="8" t="s">
        <v>221</v>
      </c>
      <c r="B263" s="8">
        <v>5.0</v>
      </c>
      <c r="J263" s="54"/>
    </row>
    <row r="264" ht="17.25" customHeight="1">
      <c r="A264" s="8" t="s">
        <v>221</v>
      </c>
      <c r="B264" s="8">
        <v>5.0</v>
      </c>
      <c r="J264" s="54"/>
    </row>
    <row r="265" ht="17.25" customHeight="1">
      <c r="A265" s="8" t="s">
        <v>221</v>
      </c>
      <c r="B265" s="8">
        <v>3.0</v>
      </c>
      <c r="J265" s="54"/>
    </row>
    <row r="266" ht="17.25" customHeight="1">
      <c r="A266" s="8" t="s">
        <v>221</v>
      </c>
      <c r="B266" s="8">
        <v>12.0</v>
      </c>
      <c r="J266" s="54"/>
    </row>
    <row r="267" ht="17.25" customHeight="1">
      <c r="A267" s="8" t="s">
        <v>221</v>
      </c>
      <c r="B267" s="8">
        <v>6.0</v>
      </c>
      <c r="J267" s="54"/>
    </row>
    <row r="268" ht="17.25" customHeight="1">
      <c r="A268" s="8" t="s">
        <v>221</v>
      </c>
      <c r="B268" s="8">
        <v>3.0</v>
      </c>
      <c r="J268" s="54"/>
    </row>
    <row r="269" ht="17.25" customHeight="1">
      <c r="A269" s="8" t="s">
        <v>221</v>
      </c>
      <c r="B269" s="8">
        <v>7.0</v>
      </c>
      <c r="J269" s="54"/>
    </row>
    <row r="270" ht="17.25" customHeight="1">
      <c r="A270" s="8" t="s">
        <v>221</v>
      </c>
      <c r="B270" s="8">
        <v>4.5</v>
      </c>
      <c r="J270" s="54"/>
    </row>
    <row r="271" ht="17.25" customHeight="1">
      <c r="A271" s="8" t="s">
        <v>221</v>
      </c>
      <c r="B271" s="8">
        <v>7.0</v>
      </c>
      <c r="J271" s="54"/>
    </row>
    <row r="272" ht="17.25" customHeight="1">
      <c r="A272" s="8" t="s">
        <v>221</v>
      </c>
      <c r="B272" s="8">
        <v>9.5</v>
      </c>
      <c r="J272" s="54"/>
    </row>
    <row r="273" ht="17.25" customHeight="1">
      <c r="A273" s="8" t="s">
        <v>221</v>
      </c>
      <c r="B273" s="8">
        <v>6.0</v>
      </c>
      <c r="J273" s="54"/>
    </row>
    <row r="274" ht="17.25" customHeight="1">
      <c r="A274" s="8" t="s">
        <v>221</v>
      </c>
      <c r="B274" s="8">
        <v>6.0</v>
      </c>
      <c r="J274" s="54"/>
    </row>
    <row r="275" ht="17.25" customHeight="1">
      <c r="A275" s="8" t="s">
        <v>221</v>
      </c>
      <c r="B275" s="8">
        <v>7.0</v>
      </c>
      <c r="J275" s="54"/>
    </row>
    <row r="276" ht="17.25" customHeight="1">
      <c r="A276" s="62" t="s">
        <v>221</v>
      </c>
      <c r="B276" s="62">
        <v>10.0</v>
      </c>
      <c r="C276" s="63"/>
      <c r="D276" s="63"/>
      <c r="E276" s="66">
        <f>average(B250:B276)</f>
        <v>6.037037037</v>
      </c>
      <c r="F276" s="63"/>
      <c r="G276" s="63">
        <f>count(B250:B276)</f>
        <v>27</v>
      </c>
      <c r="H276" s="63"/>
      <c r="I276" s="63"/>
      <c r="J276" s="65"/>
      <c r="K276" s="63"/>
      <c r="L276" s="63"/>
      <c r="M276" s="63"/>
      <c r="N276" s="63"/>
      <c r="O276" s="63"/>
      <c r="P276" s="63"/>
      <c r="Q276" s="63"/>
      <c r="R276" s="63"/>
      <c r="S276" s="63"/>
      <c r="T276" s="63"/>
      <c r="U276" s="63"/>
      <c r="V276" s="63"/>
      <c r="W276" s="63"/>
      <c r="X276" s="63"/>
      <c r="Y276" s="63"/>
      <c r="Z276" s="63"/>
    </row>
    <row r="277" ht="17.25" customHeight="1">
      <c r="A277" s="8" t="s">
        <v>222</v>
      </c>
      <c r="B277" s="8" t="s">
        <v>196</v>
      </c>
      <c r="J277" s="54"/>
    </row>
    <row r="278" ht="17.25" customHeight="1">
      <c r="A278" s="8" t="s">
        <v>222</v>
      </c>
      <c r="B278" s="8" t="s">
        <v>196</v>
      </c>
      <c r="J278" s="54"/>
    </row>
    <row r="279" ht="17.25" customHeight="1">
      <c r="A279" s="8" t="s">
        <v>222</v>
      </c>
      <c r="B279" s="8" t="s">
        <v>196</v>
      </c>
      <c r="J279" s="54"/>
    </row>
    <row r="280" ht="17.25" customHeight="1">
      <c r="A280" s="8" t="s">
        <v>222</v>
      </c>
      <c r="B280" s="8">
        <v>1.5</v>
      </c>
      <c r="J280" s="54"/>
    </row>
    <row r="281" ht="17.25" customHeight="1">
      <c r="A281" s="8" t="s">
        <v>222</v>
      </c>
      <c r="B281" s="8">
        <v>3.0</v>
      </c>
      <c r="J281" s="54"/>
    </row>
    <row r="282" ht="17.25" customHeight="1">
      <c r="A282" s="8" t="s">
        <v>222</v>
      </c>
      <c r="B282" s="8">
        <v>3.0</v>
      </c>
      <c r="J282" s="54"/>
    </row>
    <row r="283" ht="17.25" customHeight="1">
      <c r="A283" s="62" t="s">
        <v>222</v>
      </c>
      <c r="B283" s="62">
        <v>3.0</v>
      </c>
      <c r="C283" s="63"/>
      <c r="D283" s="63"/>
      <c r="E283" s="66">
        <f>average(B277:B283)</f>
        <v>2.625</v>
      </c>
      <c r="F283" s="63"/>
      <c r="G283" s="63">
        <f>count(B277:B283)</f>
        <v>4</v>
      </c>
      <c r="H283" s="63"/>
      <c r="I283" s="63"/>
      <c r="J283" s="65"/>
      <c r="K283" s="63"/>
      <c r="L283" s="63"/>
      <c r="M283" s="63"/>
      <c r="N283" s="63"/>
      <c r="O283" s="63"/>
      <c r="P283" s="63"/>
      <c r="Q283" s="63"/>
      <c r="R283" s="63"/>
      <c r="S283" s="63"/>
      <c r="T283" s="63"/>
      <c r="U283" s="63"/>
      <c r="V283" s="63"/>
      <c r="W283" s="63"/>
      <c r="X283" s="63"/>
      <c r="Y283" s="63"/>
      <c r="Z283" s="63"/>
    </row>
    <row r="284" ht="17.25" customHeight="1">
      <c r="A284" s="8" t="s">
        <v>223</v>
      </c>
      <c r="B284" s="8">
        <v>10.0</v>
      </c>
      <c r="J284" s="54"/>
    </row>
    <row r="285" ht="17.25" customHeight="1">
      <c r="A285" s="8" t="s">
        <v>223</v>
      </c>
      <c r="B285" s="8" t="s">
        <v>196</v>
      </c>
      <c r="J285" s="54"/>
    </row>
    <row r="286" ht="17.25" customHeight="1">
      <c r="A286" s="62" t="s">
        <v>223</v>
      </c>
      <c r="B286" s="62">
        <v>7.0</v>
      </c>
      <c r="C286" s="63"/>
      <c r="D286" s="63"/>
      <c r="E286" s="62">
        <v>8.5</v>
      </c>
      <c r="F286" s="63"/>
      <c r="G286" s="63">
        <f>count(B284:B286)</f>
        <v>2</v>
      </c>
      <c r="H286" s="63"/>
      <c r="I286" s="63"/>
      <c r="J286" s="65"/>
      <c r="K286" s="63"/>
      <c r="L286" s="63"/>
      <c r="M286" s="63"/>
      <c r="N286" s="63"/>
      <c r="O286" s="63"/>
      <c r="P286" s="63"/>
      <c r="Q286" s="63"/>
      <c r="R286" s="63"/>
      <c r="S286" s="63"/>
      <c r="T286" s="63"/>
      <c r="U286" s="63"/>
      <c r="V286" s="63"/>
      <c r="W286" s="63"/>
      <c r="X286" s="63"/>
      <c r="Y286" s="63"/>
      <c r="Z286" s="63"/>
    </row>
    <row r="287" ht="17.25" customHeight="1">
      <c r="A287" s="8" t="s">
        <v>224</v>
      </c>
      <c r="B287" s="8">
        <v>3.0</v>
      </c>
      <c r="C287" s="8">
        <v>1.0</v>
      </c>
      <c r="J287" s="54"/>
    </row>
    <row r="288" ht="17.25" customHeight="1">
      <c r="A288" s="8" t="s">
        <v>224</v>
      </c>
      <c r="B288" s="8">
        <v>2.0</v>
      </c>
      <c r="C288" s="8">
        <v>1.0</v>
      </c>
      <c r="J288" s="54"/>
    </row>
    <row r="289" ht="17.25" customHeight="1">
      <c r="A289" s="8" t="s">
        <v>224</v>
      </c>
      <c r="B289" s="8">
        <v>3.0</v>
      </c>
      <c r="C289" s="8">
        <v>1.0</v>
      </c>
      <c r="J289" s="54"/>
    </row>
    <row r="290" ht="17.25" customHeight="1">
      <c r="A290" s="8" t="s">
        <v>224</v>
      </c>
      <c r="B290" s="8">
        <v>2.0</v>
      </c>
      <c r="C290" s="8">
        <v>1.0</v>
      </c>
      <c r="J290" s="54"/>
    </row>
    <row r="291" ht="17.25" customHeight="1">
      <c r="A291" s="8" t="s">
        <v>224</v>
      </c>
      <c r="B291" s="8">
        <v>3.0</v>
      </c>
      <c r="C291" s="8">
        <v>1.0</v>
      </c>
      <c r="J291" s="54"/>
    </row>
    <row r="292" ht="17.25" customHeight="1">
      <c r="A292" s="8" t="s">
        <v>224</v>
      </c>
      <c r="B292" s="8">
        <v>3.0</v>
      </c>
      <c r="C292" s="8"/>
      <c r="J292" s="54"/>
    </row>
    <row r="293" ht="17.25" customHeight="1">
      <c r="A293" s="8" t="s">
        <v>224</v>
      </c>
      <c r="B293" s="8">
        <v>2.5</v>
      </c>
      <c r="C293" s="8">
        <v>1.0</v>
      </c>
      <c r="J293" s="54"/>
    </row>
    <row r="294" ht="17.25" customHeight="1">
      <c r="A294" s="8" t="s">
        <v>224</v>
      </c>
      <c r="B294" s="8">
        <v>2.0</v>
      </c>
      <c r="C294" s="8">
        <v>1.0</v>
      </c>
      <c r="J294" s="54"/>
    </row>
    <row r="295" ht="17.25" customHeight="1">
      <c r="A295" s="8" t="s">
        <v>224</v>
      </c>
      <c r="B295" s="8">
        <v>2.0</v>
      </c>
      <c r="C295" s="8">
        <v>1.0</v>
      </c>
      <c r="J295" s="54"/>
    </row>
    <row r="296" ht="17.25" customHeight="1">
      <c r="A296" s="8" t="s">
        <v>224</v>
      </c>
      <c r="B296" s="8">
        <v>2.5</v>
      </c>
      <c r="C296" s="8">
        <v>1.0</v>
      </c>
      <c r="J296" s="54"/>
    </row>
    <row r="297" ht="17.25" customHeight="1">
      <c r="A297" s="62" t="s">
        <v>224</v>
      </c>
      <c r="B297" s="62">
        <v>2.0</v>
      </c>
      <c r="C297" s="62">
        <v>1.0</v>
      </c>
      <c r="D297" s="63"/>
      <c r="E297" s="66">
        <f>average(B287:B297)</f>
        <v>2.454545455</v>
      </c>
      <c r="F297" s="63"/>
      <c r="G297" s="63">
        <f>count(B287:B297)</f>
        <v>11</v>
      </c>
      <c r="H297" s="63"/>
      <c r="I297" s="63"/>
      <c r="J297" s="65"/>
      <c r="K297" s="63"/>
      <c r="L297" s="63"/>
      <c r="M297" s="63"/>
      <c r="N297" s="63"/>
      <c r="O297" s="63"/>
      <c r="P297" s="63"/>
      <c r="Q297" s="63"/>
      <c r="R297" s="63"/>
      <c r="S297" s="63"/>
      <c r="T297" s="63"/>
      <c r="U297" s="63"/>
      <c r="V297" s="63"/>
      <c r="W297" s="63"/>
      <c r="X297" s="63"/>
      <c r="Y297" s="63"/>
      <c r="Z297" s="63"/>
    </row>
    <row r="298" ht="17.25" customHeight="1">
      <c r="A298" s="8" t="s">
        <v>225</v>
      </c>
      <c r="B298" s="8">
        <v>2.0</v>
      </c>
      <c r="C298" s="8">
        <v>1.0</v>
      </c>
      <c r="J298" s="54"/>
    </row>
    <row r="299" ht="17.25" customHeight="1">
      <c r="A299" s="8" t="s">
        <v>225</v>
      </c>
      <c r="B299" s="8">
        <v>3.0</v>
      </c>
      <c r="C299" s="8">
        <v>1.0</v>
      </c>
      <c r="J299" s="54"/>
    </row>
    <row r="300" ht="17.25" customHeight="1">
      <c r="A300" s="8" t="s">
        <v>225</v>
      </c>
      <c r="B300" s="8">
        <v>3.0</v>
      </c>
      <c r="C300" s="8">
        <v>1.0</v>
      </c>
      <c r="J300" s="54"/>
    </row>
    <row r="301" ht="17.25" customHeight="1">
      <c r="A301" s="8" t="s">
        <v>225</v>
      </c>
      <c r="B301" s="8">
        <v>2.5</v>
      </c>
      <c r="C301" s="8">
        <v>1.0</v>
      </c>
      <c r="J301" s="54"/>
    </row>
    <row r="302" ht="17.25" customHeight="1">
      <c r="A302" s="8" t="s">
        <v>225</v>
      </c>
      <c r="B302" s="8">
        <v>2.0</v>
      </c>
      <c r="C302" s="8">
        <v>1.0</v>
      </c>
      <c r="J302" s="54"/>
    </row>
    <row r="303" ht="17.25" customHeight="1">
      <c r="A303" s="8" t="s">
        <v>225</v>
      </c>
      <c r="B303" s="8">
        <v>2.5</v>
      </c>
      <c r="C303" s="8">
        <v>1.0</v>
      </c>
      <c r="J303" s="54"/>
    </row>
    <row r="304" ht="17.25" customHeight="1">
      <c r="A304" s="8" t="s">
        <v>225</v>
      </c>
      <c r="B304" s="8">
        <v>2.5</v>
      </c>
      <c r="C304" s="8">
        <v>1.0</v>
      </c>
      <c r="J304" s="54"/>
    </row>
    <row r="305" ht="17.25" customHeight="1">
      <c r="A305" s="8" t="s">
        <v>225</v>
      </c>
      <c r="B305" s="8">
        <v>3.0</v>
      </c>
      <c r="C305" s="8">
        <v>1.0</v>
      </c>
      <c r="J305" s="54"/>
    </row>
    <row r="306" ht="17.25" customHeight="1">
      <c r="A306" s="8" t="s">
        <v>225</v>
      </c>
      <c r="B306" s="8">
        <v>2.5</v>
      </c>
      <c r="C306" s="8">
        <v>1.0</v>
      </c>
      <c r="J306" s="54"/>
    </row>
    <row r="307" ht="17.25" customHeight="1">
      <c r="A307" s="8" t="s">
        <v>225</v>
      </c>
      <c r="B307" s="8">
        <v>2.0</v>
      </c>
      <c r="C307" s="8">
        <v>1.0</v>
      </c>
      <c r="J307" s="54"/>
    </row>
    <row r="308" ht="17.25" customHeight="1">
      <c r="A308" s="8" t="s">
        <v>225</v>
      </c>
      <c r="B308" s="8">
        <v>3.0</v>
      </c>
      <c r="C308" s="8">
        <v>1.0</v>
      </c>
      <c r="J308" s="54"/>
    </row>
    <row r="309" ht="17.25" customHeight="1">
      <c r="A309" s="8" t="s">
        <v>225</v>
      </c>
      <c r="B309" s="8">
        <v>4.0</v>
      </c>
      <c r="C309" s="8">
        <v>1.0</v>
      </c>
      <c r="J309" s="54"/>
    </row>
    <row r="310" ht="17.25" customHeight="1">
      <c r="A310" s="8" t="s">
        <v>225</v>
      </c>
      <c r="B310" s="8">
        <v>2.5</v>
      </c>
      <c r="C310" s="8">
        <v>1.0</v>
      </c>
      <c r="J310" s="54"/>
    </row>
    <row r="311" ht="17.25" customHeight="1">
      <c r="A311" s="8" t="s">
        <v>225</v>
      </c>
      <c r="B311" s="8">
        <v>2.5</v>
      </c>
      <c r="C311" s="8">
        <v>1.0</v>
      </c>
      <c r="J311" s="54"/>
    </row>
    <row r="312" ht="17.25" customHeight="1">
      <c r="A312" s="8" t="s">
        <v>225</v>
      </c>
      <c r="B312" s="8">
        <v>2.0</v>
      </c>
      <c r="C312" s="8">
        <v>1.0</v>
      </c>
      <c r="J312" s="54"/>
    </row>
    <row r="313" ht="17.25" customHeight="1">
      <c r="A313" s="8" t="s">
        <v>225</v>
      </c>
      <c r="B313" s="8">
        <v>3.0</v>
      </c>
      <c r="C313" s="8">
        <v>1.0</v>
      </c>
      <c r="J313" s="54"/>
    </row>
    <row r="314" ht="17.25" customHeight="1">
      <c r="A314" s="8" t="s">
        <v>225</v>
      </c>
      <c r="B314" s="8">
        <v>4.0</v>
      </c>
      <c r="C314" s="8">
        <v>1.0</v>
      </c>
      <c r="J314" s="54"/>
    </row>
    <row r="315" ht="17.25" customHeight="1">
      <c r="A315" s="8" t="s">
        <v>225</v>
      </c>
      <c r="B315" s="8">
        <v>2.0</v>
      </c>
      <c r="C315" s="8">
        <v>1.0</v>
      </c>
      <c r="J315" s="54"/>
    </row>
    <row r="316" ht="17.25" customHeight="1">
      <c r="A316" s="8" t="s">
        <v>225</v>
      </c>
      <c r="B316" s="8">
        <v>3.0</v>
      </c>
      <c r="C316" s="8">
        <v>1.0</v>
      </c>
      <c r="J316" s="54"/>
    </row>
    <row r="317" ht="17.25" customHeight="1">
      <c r="A317" s="8" t="s">
        <v>225</v>
      </c>
      <c r="B317" s="8">
        <v>2.5</v>
      </c>
      <c r="C317" s="8">
        <v>1.0</v>
      </c>
      <c r="J317" s="54"/>
    </row>
    <row r="318" ht="17.25" customHeight="1">
      <c r="A318" s="8" t="s">
        <v>225</v>
      </c>
      <c r="B318" s="8">
        <v>3.0</v>
      </c>
      <c r="C318" s="8">
        <v>1.0</v>
      </c>
      <c r="J318" s="54"/>
    </row>
    <row r="319" ht="17.25" customHeight="1">
      <c r="A319" s="8" t="s">
        <v>225</v>
      </c>
      <c r="B319" s="8">
        <v>4.5</v>
      </c>
      <c r="C319" s="8">
        <v>1.0</v>
      </c>
      <c r="J319" s="54"/>
    </row>
    <row r="320" ht="17.25" customHeight="1">
      <c r="A320" s="8" t="s">
        <v>225</v>
      </c>
      <c r="B320" s="8">
        <v>4.5</v>
      </c>
      <c r="C320" s="8">
        <v>1.0</v>
      </c>
      <c r="J320" s="54"/>
    </row>
    <row r="321" ht="17.25" customHeight="1">
      <c r="A321" s="8" t="s">
        <v>225</v>
      </c>
      <c r="B321" s="8">
        <v>2.5</v>
      </c>
      <c r="C321" s="8">
        <v>1.0</v>
      </c>
      <c r="J321" s="54"/>
    </row>
    <row r="322" ht="17.25" customHeight="1">
      <c r="A322" s="8" t="s">
        <v>225</v>
      </c>
      <c r="B322" s="8">
        <v>4.5</v>
      </c>
      <c r="C322" s="8">
        <v>1.0</v>
      </c>
      <c r="J322" s="54"/>
    </row>
    <row r="323" ht="17.25" customHeight="1">
      <c r="A323" s="62" t="s">
        <v>225</v>
      </c>
      <c r="B323" s="62">
        <v>0.5</v>
      </c>
      <c r="C323" s="62">
        <v>1.0</v>
      </c>
      <c r="D323" s="63"/>
      <c r="E323" s="66">
        <f t="shared" ref="E323:F323" si="10">average(B298:B323)</f>
        <v>2.807692308</v>
      </c>
      <c r="F323" s="63">
        <f t="shared" si="10"/>
        <v>1</v>
      </c>
      <c r="G323" s="63"/>
      <c r="H323" s="63"/>
      <c r="I323" s="63"/>
      <c r="J323" s="65"/>
      <c r="K323" s="63"/>
      <c r="L323" s="63"/>
      <c r="M323" s="63"/>
      <c r="N323" s="63"/>
      <c r="O323" s="63"/>
      <c r="P323" s="63"/>
      <c r="Q323" s="63"/>
      <c r="R323" s="63"/>
      <c r="S323" s="63"/>
      <c r="T323" s="63"/>
      <c r="U323" s="63"/>
      <c r="V323" s="63"/>
      <c r="W323" s="63"/>
      <c r="X323" s="63"/>
      <c r="Y323" s="63"/>
      <c r="Z323" s="63"/>
    </row>
    <row r="324" ht="17.25" customHeight="1">
      <c r="A324" s="8" t="s">
        <v>226</v>
      </c>
      <c r="B324" s="8">
        <v>6.0</v>
      </c>
      <c r="J324" s="54"/>
    </row>
    <row r="325" ht="17.25" customHeight="1">
      <c r="A325" s="8" t="s">
        <v>226</v>
      </c>
      <c r="B325" s="8">
        <v>8.0</v>
      </c>
      <c r="J325" s="54"/>
    </row>
    <row r="326" ht="17.25" customHeight="1">
      <c r="A326" s="8" t="s">
        <v>226</v>
      </c>
      <c r="B326" s="8">
        <v>8.0</v>
      </c>
      <c r="J326" s="54"/>
    </row>
    <row r="327" ht="17.25" customHeight="1">
      <c r="A327" s="8" t="s">
        <v>226</v>
      </c>
      <c r="B327" s="8">
        <v>10.0</v>
      </c>
      <c r="J327" s="54"/>
    </row>
    <row r="328" ht="17.25" customHeight="1">
      <c r="A328" s="8" t="s">
        <v>226</v>
      </c>
      <c r="B328" s="8">
        <v>6.0</v>
      </c>
      <c r="J328" s="54"/>
    </row>
    <row r="329" ht="17.25" customHeight="1">
      <c r="A329" s="8" t="s">
        <v>226</v>
      </c>
      <c r="B329" s="8">
        <v>4.5</v>
      </c>
      <c r="J329" s="54"/>
    </row>
    <row r="330" ht="17.25" customHeight="1">
      <c r="A330" s="8" t="s">
        <v>226</v>
      </c>
      <c r="B330" s="8">
        <v>7.0</v>
      </c>
      <c r="J330" s="54"/>
    </row>
    <row r="331" ht="17.25" customHeight="1">
      <c r="A331" s="8" t="s">
        <v>226</v>
      </c>
      <c r="B331" s="8">
        <v>7.0</v>
      </c>
      <c r="J331" s="54"/>
    </row>
    <row r="332" ht="17.25" customHeight="1">
      <c r="A332" s="8" t="s">
        <v>226</v>
      </c>
      <c r="B332" s="8">
        <v>3.0</v>
      </c>
      <c r="J332" s="54"/>
    </row>
    <row r="333" ht="17.25" customHeight="1">
      <c r="A333" s="8" t="s">
        <v>226</v>
      </c>
      <c r="B333" s="8">
        <v>4.5</v>
      </c>
      <c r="J333" s="54"/>
    </row>
    <row r="334" ht="17.25" customHeight="1">
      <c r="A334" s="8" t="s">
        <v>226</v>
      </c>
      <c r="B334" s="8">
        <v>5.5</v>
      </c>
      <c r="J334" s="54"/>
    </row>
    <row r="335" ht="17.25" customHeight="1">
      <c r="A335" s="8" t="s">
        <v>226</v>
      </c>
      <c r="B335" s="8">
        <v>7.0</v>
      </c>
      <c r="J335" s="54"/>
    </row>
    <row r="336" ht="17.25" customHeight="1">
      <c r="A336" s="8" t="s">
        <v>226</v>
      </c>
      <c r="B336" s="8">
        <v>7.5</v>
      </c>
      <c r="J336" s="54"/>
    </row>
    <row r="337" ht="17.25" customHeight="1">
      <c r="A337" s="8" t="s">
        <v>226</v>
      </c>
      <c r="B337" s="8">
        <v>8.0</v>
      </c>
      <c r="J337" s="54"/>
    </row>
    <row r="338" ht="17.25" customHeight="1">
      <c r="A338" s="8" t="s">
        <v>226</v>
      </c>
      <c r="B338" s="8">
        <v>7.0</v>
      </c>
      <c r="J338" s="54"/>
    </row>
    <row r="339" ht="17.25" customHeight="1">
      <c r="A339" s="8" t="s">
        <v>226</v>
      </c>
      <c r="B339" s="8">
        <v>2.0</v>
      </c>
      <c r="J339" s="54"/>
    </row>
    <row r="340" ht="17.25" customHeight="1">
      <c r="A340" s="8" t="s">
        <v>226</v>
      </c>
      <c r="B340" s="8">
        <v>12.0</v>
      </c>
      <c r="J340" s="54"/>
    </row>
    <row r="341" ht="17.25" customHeight="1">
      <c r="A341" s="8" t="s">
        <v>226</v>
      </c>
      <c r="B341" s="8">
        <v>4.0</v>
      </c>
      <c r="J341" s="54"/>
    </row>
    <row r="342" ht="17.25" customHeight="1">
      <c r="A342" s="8" t="s">
        <v>226</v>
      </c>
      <c r="B342" s="8">
        <v>6.0</v>
      </c>
      <c r="J342" s="54"/>
    </row>
    <row r="343" ht="17.25" customHeight="1">
      <c r="A343" s="8" t="s">
        <v>226</v>
      </c>
      <c r="B343" s="8">
        <v>8.0</v>
      </c>
      <c r="J343" s="54"/>
    </row>
    <row r="344" ht="17.25" customHeight="1">
      <c r="A344" s="8" t="s">
        <v>226</v>
      </c>
      <c r="B344" s="8">
        <v>11.0</v>
      </c>
      <c r="J344" s="54"/>
    </row>
    <row r="345" ht="17.25" customHeight="1">
      <c r="A345" s="8" t="s">
        <v>226</v>
      </c>
      <c r="B345" s="8">
        <v>12.0</v>
      </c>
      <c r="J345" s="54"/>
    </row>
    <row r="346" ht="17.25" customHeight="1">
      <c r="A346" s="8" t="s">
        <v>226</v>
      </c>
      <c r="B346" s="8">
        <v>11.0</v>
      </c>
      <c r="J346" s="54"/>
    </row>
    <row r="347" ht="17.25" customHeight="1">
      <c r="A347" s="8" t="s">
        <v>226</v>
      </c>
      <c r="B347" s="8">
        <v>11.0</v>
      </c>
      <c r="J347" s="54"/>
    </row>
    <row r="348" ht="17.25" customHeight="1">
      <c r="A348" s="8" t="s">
        <v>226</v>
      </c>
      <c r="B348" s="8">
        <v>14.0</v>
      </c>
      <c r="J348" s="54"/>
    </row>
    <row r="349" ht="17.25" customHeight="1">
      <c r="A349" s="8" t="s">
        <v>226</v>
      </c>
      <c r="B349" s="8">
        <v>19.0</v>
      </c>
      <c r="J349" s="54"/>
    </row>
    <row r="350" ht="17.25" customHeight="1">
      <c r="A350" s="8" t="s">
        <v>226</v>
      </c>
      <c r="B350" s="8">
        <v>9.0</v>
      </c>
      <c r="J350" s="54"/>
    </row>
    <row r="351" ht="17.25" customHeight="1">
      <c r="A351" s="8" t="s">
        <v>226</v>
      </c>
      <c r="B351" s="8">
        <v>20.0</v>
      </c>
      <c r="J351" s="54"/>
    </row>
    <row r="352" ht="17.25" customHeight="1">
      <c r="A352" s="62" t="s">
        <v>226</v>
      </c>
      <c r="B352" s="62">
        <v>14.0</v>
      </c>
      <c r="C352" s="63"/>
      <c r="D352" s="63"/>
      <c r="E352" s="66">
        <f>average(B324:B352)</f>
        <v>8.689655172</v>
      </c>
      <c r="F352" s="63"/>
      <c r="G352" s="63">
        <f>count(B324:B352)</f>
        <v>29</v>
      </c>
      <c r="H352" s="63"/>
      <c r="I352" s="63"/>
      <c r="J352" s="65"/>
      <c r="K352" s="63"/>
      <c r="L352" s="63"/>
      <c r="M352" s="63"/>
      <c r="N352" s="63"/>
      <c r="O352" s="63"/>
      <c r="P352" s="63"/>
      <c r="Q352" s="63"/>
      <c r="R352" s="63"/>
      <c r="S352" s="63"/>
      <c r="T352" s="63"/>
      <c r="U352" s="63"/>
      <c r="V352" s="63"/>
      <c r="W352" s="63"/>
      <c r="X352" s="63"/>
      <c r="Y352" s="63"/>
      <c r="Z352" s="63"/>
    </row>
    <row r="353" ht="17.25" customHeight="1">
      <c r="A353" s="8" t="s">
        <v>227</v>
      </c>
      <c r="B353" s="8">
        <v>9.0</v>
      </c>
      <c r="J353" s="54"/>
    </row>
    <row r="354" ht="17.25" customHeight="1">
      <c r="A354" s="8" t="s">
        <v>227</v>
      </c>
      <c r="B354" s="8">
        <v>9.0</v>
      </c>
      <c r="J354" s="54"/>
    </row>
    <row r="355" ht="17.25" customHeight="1">
      <c r="A355" s="8" t="s">
        <v>227</v>
      </c>
      <c r="B355" s="8" t="s">
        <v>196</v>
      </c>
      <c r="J355" s="54"/>
    </row>
    <row r="356" ht="17.25" customHeight="1">
      <c r="A356" s="8" t="s">
        <v>227</v>
      </c>
      <c r="B356" s="8" t="s">
        <v>196</v>
      </c>
      <c r="J356" s="54"/>
    </row>
    <row r="357" ht="17.25" customHeight="1">
      <c r="A357" s="8" t="s">
        <v>227</v>
      </c>
      <c r="B357" s="8" t="s">
        <v>196</v>
      </c>
      <c r="J357" s="54"/>
    </row>
    <row r="358" ht="17.25" customHeight="1">
      <c r="A358" s="8" t="s">
        <v>227</v>
      </c>
      <c r="B358" s="8" t="s">
        <v>196</v>
      </c>
      <c r="J358" s="54"/>
    </row>
    <row r="359" ht="17.25" customHeight="1">
      <c r="A359" s="8" t="s">
        <v>227</v>
      </c>
      <c r="B359" s="8" t="s">
        <v>196</v>
      </c>
      <c r="J359" s="54"/>
    </row>
    <row r="360" ht="17.25" customHeight="1">
      <c r="A360" s="8" t="s">
        <v>227</v>
      </c>
      <c r="B360" s="8" t="s">
        <v>196</v>
      </c>
      <c r="J360" s="54"/>
    </row>
    <row r="361" ht="17.25" customHeight="1">
      <c r="A361" s="62" t="s">
        <v>227</v>
      </c>
      <c r="B361" s="62" t="s">
        <v>196</v>
      </c>
      <c r="C361" s="63"/>
      <c r="D361" s="63"/>
      <c r="E361" s="63">
        <f>average(B353:B361)</f>
        <v>9</v>
      </c>
      <c r="F361" s="63"/>
      <c r="G361" s="63">
        <f>count(B353:B361)</f>
        <v>2</v>
      </c>
      <c r="H361" s="63"/>
      <c r="I361" s="63"/>
      <c r="J361" s="65"/>
      <c r="K361" s="63"/>
      <c r="L361" s="63"/>
      <c r="M361" s="63"/>
      <c r="N361" s="63"/>
      <c r="O361" s="63"/>
      <c r="P361" s="63"/>
      <c r="Q361" s="63"/>
      <c r="R361" s="63"/>
      <c r="S361" s="63"/>
      <c r="T361" s="63"/>
      <c r="U361" s="63"/>
      <c r="V361" s="63"/>
      <c r="W361" s="63"/>
      <c r="X361" s="63"/>
      <c r="Y361" s="63"/>
      <c r="Z361" s="63"/>
    </row>
    <row r="362" ht="17.25" customHeight="1">
      <c r="A362" s="8" t="s">
        <v>228</v>
      </c>
      <c r="B362" s="8">
        <v>11.0</v>
      </c>
      <c r="J362" s="54"/>
    </row>
    <row r="363" ht="17.25" customHeight="1">
      <c r="A363" s="8" t="s">
        <v>228</v>
      </c>
      <c r="B363" s="8">
        <v>11.5</v>
      </c>
      <c r="J363" s="54"/>
    </row>
    <row r="364" ht="17.25" customHeight="1">
      <c r="A364" s="8" t="s">
        <v>228</v>
      </c>
      <c r="B364" s="8">
        <v>8.5</v>
      </c>
      <c r="J364" s="54"/>
    </row>
    <row r="365" ht="17.25" customHeight="1">
      <c r="A365" s="8" t="s">
        <v>228</v>
      </c>
      <c r="B365" s="8">
        <v>18.5</v>
      </c>
      <c r="J365" s="54"/>
    </row>
    <row r="366" ht="17.25" customHeight="1">
      <c r="A366" s="8" t="s">
        <v>228</v>
      </c>
      <c r="B366" s="8">
        <v>9.0</v>
      </c>
      <c r="J366" s="54"/>
    </row>
    <row r="367" ht="17.25" customHeight="1">
      <c r="A367" s="8" t="s">
        <v>228</v>
      </c>
      <c r="B367" s="8">
        <v>11.5</v>
      </c>
      <c r="J367" s="54"/>
    </row>
    <row r="368" ht="17.25" customHeight="1">
      <c r="A368" s="8" t="s">
        <v>228</v>
      </c>
      <c r="B368" s="8">
        <v>9.0</v>
      </c>
      <c r="J368" s="54"/>
    </row>
    <row r="369" ht="17.25" customHeight="1">
      <c r="A369" s="8" t="s">
        <v>228</v>
      </c>
      <c r="B369" s="8">
        <v>13.5</v>
      </c>
      <c r="J369" s="54"/>
    </row>
    <row r="370" ht="17.25" customHeight="1">
      <c r="A370" s="8" t="s">
        <v>228</v>
      </c>
      <c r="B370" s="8">
        <v>11.0</v>
      </c>
      <c r="J370" s="54"/>
    </row>
    <row r="371" ht="17.25" customHeight="1">
      <c r="A371" s="8" t="s">
        <v>228</v>
      </c>
      <c r="B371" s="8">
        <v>11.5</v>
      </c>
      <c r="J371" s="54"/>
    </row>
    <row r="372" ht="17.25" customHeight="1">
      <c r="A372" s="8" t="s">
        <v>228</v>
      </c>
      <c r="B372" s="8">
        <v>11.5</v>
      </c>
      <c r="J372" s="54"/>
    </row>
    <row r="373" ht="17.25" customHeight="1">
      <c r="A373" s="8" t="s">
        <v>228</v>
      </c>
      <c r="B373" s="8">
        <v>13.5</v>
      </c>
      <c r="J373" s="54"/>
    </row>
    <row r="374" ht="17.25" customHeight="1">
      <c r="A374" s="8" t="s">
        <v>228</v>
      </c>
      <c r="B374" s="8">
        <v>11.0</v>
      </c>
      <c r="J374" s="54"/>
    </row>
    <row r="375" ht="17.25" customHeight="1">
      <c r="A375" s="8" t="s">
        <v>228</v>
      </c>
      <c r="B375" s="8">
        <v>13.0</v>
      </c>
      <c r="J375" s="54"/>
    </row>
    <row r="376" ht="17.25" customHeight="1">
      <c r="A376" s="8" t="s">
        <v>228</v>
      </c>
      <c r="B376" s="8">
        <v>9.0</v>
      </c>
      <c r="J376" s="54"/>
    </row>
    <row r="377" ht="17.25" customHeight="1">
      <c r="A377" s="8" t="s">
        <v>228</v>
      </c>
      <c r="B377" s="8">
        <v>6.0</v>
      </c>
      <c r="J377" s="54"/>
    </row>
    <row r="378" ht="17.25" customHeight="1">
      <c r="A378" s="8" t="s">
        <v>228</v>
      </c>
      <c r="B378" s="8">
        <v>11.5</v>
      </c>
      <c r="J378" s="54"/>
    </row>
    <row r="379" ht="17.25" customHeight="1">
      <c r="A379" s="8" t="s">
        <v>228</v>
      </c>
      <c r="B379" s="8">
        <v>11.0</v>
      </c>
      <c r="J379" s="54"/>
    </row>
    <row r="380" ht="17.25" customHeight="1">
      <c r="A380" s="8" t="s">
        <v>228</v>
      </c>
      <c r="B380" s="8">
        <v>10.0</v>
      </c>
      <c r="J380" s="54"/>
    </row>
    <row r="381" ht="17.25" customHeight="1">
      <c r="A381" s="8" t="s">
        <v>228</v>
      </c>
      <c r="B381" s="8">
        <v>14.0</v>
      </c>
      <c r="J381" s="54"/>
    </row>
    <row r="382" ht="17.25" customHeight="1">
      <c r="A382" s="8" t="s">
        <v>228</v>
      </c>
      <c r="B382" s="8">
        <v>11.0</v>
      </c>
      <c r="J382" s="54"/>
    </row>
    <row r="383" ht="17.25" customHeight="1">
      <c r="A383" s="8" t="s">
        <v>228</v>
      </c>
      <c r="B383" s="8">
        <v>13.5</v>
      </c>
      <c r="J383" s="54"/>
    </row>
    <row r="384" ht="17.25" customHeight="1">
      <c r="A384" s="8" t="s">
        <v>228</v>
      </c>
      <c r="B384" s="8">
        <v>9.0</v>
      </c>
      <c r="J384" s="54"/>
    </row>
    <row r="385" ht="17.25" customHeight="1">
      <c r="A385" s="8" t="s">
        <v>228</v>
      </c>
      <c r="B385" s="8">
        <v>11.5</v>
      </c>
      <c r="J385" s="54"/>
    </row>
    <row r="386" ht="17.25" customHeight="1">
      <c r="A386" s="8" t="s">
        <v>228</v>
      </c>
      <c r="B386" s="8">
        <v>11.0</v>
      </c>
      <c r="J386" s="54"/>
    </row>
    <row r="387" ht="17.25" customHeight="1">
      <c r="A387" s="8" t="s">
        <v>228</v>
      </c>
      <c r="B387" s="8">
        <v>11.0</v>
      </c>
      <c r="J387" s="54"/>
    </row>
    <row r="388" ht="17.25" customHeight="1">
      <c r="A388" s="8" t="s">
        <v>228</v>
      </c>
      <c r="B388" s="8">
        <v>12.0</v>
      </c>
      <c r="J388" s="54"/>
    </row>
    <row r="389" ht="17.25" customHeight="1">
      <c r="A389" s="8" t="s">
        <v>228</v>
      </c>
      <c r="B389" s="8">
        <v>7.0</v>
      </c>
      <c r="J389" s="54"/>
    </row>
    <row r="390" ht="17.25" customHeight="1">
      <c r="A390" s="8" t="s">
        <v>228</v>
      </c>
      <c r="B390" s="8">
        <v>8.5</v>
      </c>
      <c r="J390" s="54"/>
    </row>
    <row r="391" ht="17.25" customHeight="1">
      <c r="A391" s="8" t="s">
        <v>228</v>
      </c>
      <c r="B391" s="8">
        <v>8.5</v>
      </c>
      <c r="J391" s="54"/>
    </row>
    <row r="392" ht="17.25" customHeight="1">
      <c r="A392" s="62" t="s">
        <v>228</v>
      </c>
      <c r="B392" s="62">
        <v>11.0</v>
      </c>
      <c r="C392" s="63"/>
      <c r="D392" s="63"/>
      <c r="E392" s="66">
        <f>average(B362:B392)</f>
        <v>10.9516129</v>
      </c>
      <c r="F392" s="63"/>
      <c r="G392" s="63">
        <f>count(B362:B392)</f>
        <v>31</v>
      </c>
      <c r="H392" s="63"/>
      <c r="I392" s="63"/>
      <c r="J392" s="65"/>
      <c r="K392" s="63"/>
      <c r="L392" s="63"/>
      <c r="M392" s="63"/>
      <c r="N392" s="63"/>
      <c r="O392" s="63"/>
      <c r="P392" s="63"/>
      <c r="Q392" s="63"/>
      <c r="R392" s="63"/>
      <c r="S392" s="63"/>
      <c r="T392" s="63"/>
      <c r="U392" s="63"/>
      <c r="V392" s="63"/>
      <c r="W392" s="63"/>
      <c r="X392" s="63"/>
      <c r="Y392" s="63"/>
      <c r="Z392" s="63"/>
    </row>
    <row r="393" ht="17.25" customHeight="1">
      <c r="A393" s="8" t="s">
        <v>229</v>
      </c>
      <c r="B393" s="8">
        <v>6.0</v>
      </c>
      <c r="J393" s="54"/>
    </row>
    <row r="394" ht="17.25" customHeight="1">
      <c r="A394" s="8" t="s">
        <v>229</v>
      </c>
      <c r="B394" s="8">
        <v>13.5</v>
      </c>
      <c r="J394" s="54"/>
    </row>
    <row r="395" ht="17.25" customHeight="1">
      <c r="A395" s="8" t="s">
        <v>229</v>
      </c>
      <c r="B395" s="8" t="s">
        <v>196</v>
      </c>
      <c r="J395" s="54"/>
    </row>
    <row r="396" ht="17.25" customHeight="1">
      <c r="A396" s="8" t="s">
        <v>229</v>
      </c>
      <c r="B396" s="8">
        <v>9.0</v>
      </c>
      <c r="J396" s="54"/>
    </row>
    <row r="397" ht="17.25" customHeight="1">
      <c r="A397" s="8" t="s">
        <v>229</v>
      </c>
      <c r="B397" s="8">
        <v>6.5</v>
      </c>
      <c r="J397" s="54"/>
    </row>
    <row r="398" ht="17.25" customHeight="1">
      <c r="A398" s="8" t="s">
        <v>229</v>
      </c>
      <c r="B398" s="8">
        <v>10.5</v>
      </c>
      <c r="J398" s="54"/>
    </row>
    <row r="399" ht="17.25" customHeight="1">
      <c r="A399" s="8" t="s">
        <v>229</v>
      </c>
      <c r="B399" s="8">
        <v>6.5</v>
      </c>
      <c r="J399" s="54"/>
    </row>
    <row r="400" ht="17.25" customHeight="1">
      <c r="A400" s="8" t="s">
        <v>229</v>
      </c>
      <c r="B400" s="8">
        <v>8.0</v>
      </c>
      <c r="J400" s="54"/>
    </row>
    <row r="401" ht="17.25" customHeight="1">
      <c r="A401" s="8" t="s">
        <v>229</v>
      </c>
      <c r="B401" s="8" t="s">
        <v>196</v>
      </c>
      <c r="J401" s="54"/>
    </row>
    <row r="402" ht="17.25" customHeight="1">
      <c r="A402" s="8" t="s">
        <v>229</v>
      </c>
      <c r="B402" s="8" t="s">
        <v>196</v>
      </c>
      <c r="J402" s="54"/>
    </row>
    <row r="403" ht="17.25" customHeight="1">
      <c r="A403" s="8" t="s">
        <v>229</v>
      </c>
      <c r="B403" s="8" t="s">
        <v>196</v>
      </c>
      <c r="J403" s="54"/>
    </row>
    <row r="404" ht="17.25" customHeight="1">
      <c r="A404" s="8" t="s">
        <v>229</v>
      </c>
      <c r="B404" s="8">
        <v>6.0</v>
      </c>
      <c r="J404" s="54"/>
    </row>
    <row r="405" ht="17.25" customHeight="1">
      <c r="A405" s="8" t="s">
        <v>229</v>
      </c>
      <c r="B405" s="8">
        <v>9.0</v>
      </c>
      <c r="J405" s="54"/>
    </row>
    <row r="406" ht="17.25" customHeight="1">
      <c r="A406" s="8" t="s">
        <v>229</v>
      </c>
      <c r="B406" s="8">
        <v>7.5</v>
      </c>
      <c r="J406" s="54"/>
    </row>
    <row r="407" ht="17.25" customHeight="1">
      <c r="A407" s="8" t="s">
        <v>229</v>
      </c>
      <c r="B407" s="8" t="s">
        <v>196</v>
      </c>
      <c r="J407" s="54"/>
    </row>
    <row r="408" ht="17.25" customHeight="1">
      <c r="A408" s="8" t="s">
        <v>229</v>
      </c>
      <c r="B408" s="8" t="s">
        <v>196</v>
      </c>
      <c r="J408" s="54"/>
    </row>
    <row r="409" ht="17.25" customHeight="1">
      <c r="A409" s="8" t="s">
        <v>229</v>
      </c>
      <c r="B409" s="8">
        <v>8.5</v>
      </c>
      <c r="J409" s="54"/>
    </row>
    <row r="410" ht="17.25" customHeight="1">
      <c r="A410" s="8" t="s">
        <v>229</v>
      </c>
      <c r="B410" s="8">
        <v>9.5</v>
      </c>
      <c r="J410" s="54"/>
    </row>
    <row r="411" ht="17.25" customHeight="1">
      <c r="A411" s="8" t="s">
        <v>229</v>
      </c>
      <c r="B411" s="8">
        <v>8.0</v>
      </c>
      <c r="J411" s="54"/>
    </row>
    <row r="412" ht="17.25" customHeight="1">
      <c r="A412" s="8" t="s">
        <v>229</v>
      </c>
      <c r="B412" s="8">
        <v>9.5</v>
      </c>
      <c r="J412" s="54"/>
    </row>
    <row r="413" ht="17.25" customHeight="1">
      <c r="A413" s="8" t="s">
        <v>229</v>
      </c>
      <c r="B413" s="8">
        <v>11.0</v>
      </c>
      <c r="J413" s="54"/>
    </row>
    <row r="414" ht="17.25" customHeight="1">
      <c r="A414" s="8" t="s">
        <v>229</v>
      </c>
      <c r="B414" s="8">
        <v>9.5</v>
      </c>
      <c r="J414" s="54"/>
    </row>
    <row r="415" ht="17.25" customHeight="1">
      <c r="A415" s="8" t="s">
        <v>229</v>
      </c>
      <c r="B415" s="8">
        <v>9.5</v>
      </c>
      <c r="J415" s="54"/>
    </row>
    <row r="416" ht="17.25" customHeight="1">
      <c r="A416" s="8" t="s">
        <v>229</v>
      </c>
      <c r="B416" s="8">
        <v>8.5</v>
      </c>
      <c r="J416" s="54"/>
    </row>
    <row r="417" ht="17.25" customHeight="1">
      <c r="A417" s="8" t="s">
        <v>229</v>
      </c>
      <c r="B417" s="8" t="s">
        <v>196</v>
      </c>
      <c r="J417" s="54"/>
    </row>
    <row r="418" ht="17.25" customHeight="1">
      <c r="A418" s="8" t="s">
        <v>229</v>
      </c>
      <c r="B418" s="8">
        <v>8.5</v>
      </c>
      <c r="J418" s="54"/>
    </row>
    <row r="419" ht="17.25" customHeight="1">
      <c r="A419" s="8" t="s">
        <v>229</v>
      </c>
      <c r="B419" s="8">
        <v>13.5</v>
      </c>
      <c r="J419" s="54"/>
    </row>
    <row r="420" ht="17.25" customHeight="1">
      <c r="A420" s="62" t="s">
        <v>229</v>
      </c>
      <c r="B420" s="62">
        <v>11.5</v>
      </c>
      <c r="C420" s="63"/>
      <c r="D420" s="63"/>
      <c r="E420" s="64">
        <f>AVERAGE(B393:B420)</f>
        <v>9.047619048</v>
      </c>
      <c r="F420" s="63"/>
      <c r="G420" s="63">
        <f>count(B393:B420)</f>
        <v>21</v>
      </c>
      <c r="H420" s="63"/>
      <c r="I420" s="63"/>
      <c r="J420" s="65"/>
      <c r="K420" s="63"/>
      <c r="L420" s="63"/>
      <c r="M420" s="63"/>
      <c r="N420" s="63"/>
      <c r="O420" s="63"/>
      <c r="P420" s="63"/>
      <c r="Q420" s="63"/>
      <c r="R420" s="63"/>
      <c r="S420" s="63"/>
      <c r="T420" s="63"/>
      <c r="U420" s="63"/>
      <c r="V420" s="63"/>
      <c r="W420" s="63"/>
      <c r="X420" s="63"/>
      <c r="Y420" s="63"/>
      <c r="Z420" s="63"/>
    </row>
    <row r="421" ht="17.25" customHeight="1">
      <c r="J421" s="54"/>
    </row>
    <row r="422" ht="17.25" customHeight="1">
      <c r="A422" s="8" t="s">
        <v>230</v>
      </c>
      <c r="J422" s="54"/>
    </row>
    <row r="423" ht="17.25" customHeight="1">
      <c r="J423" s="54"/>
    </row>
    <row r="424" ht="17.25" customHeight="1">
      <c r="J424" s="54"/>
    </row>
    <row r="425" ht="17.25" customHeight="1">
      <c r="J425" s="54"/>
    </row>
    <row r="426" ht="17.25" customHeight="1">
      <c r="J426" s="54"/>
    </row>
    <row r="427" ht="17.25" customHeight="1">
      <c r="J427" s="54"/>
    </row>
    <row r="428" ht="17.25" customHeight="1">
      <c r="J428" s="54"/>
    </row>
    <row r="429" ht="17.25" customHeight="1">
      <c r="J429" s="54"/>
    </row>
    <row r="430" ht="17.25" customHeight="1">
      <c r="J430" s="54"/>
    </row>
    <row r="431" ht="17.25" customHeight="1">
      <c r="J431" s="54"/>
    </row>
    <row r="432" ht="17.25" customHeight="1">
      <c r="J432" s="54"/>
    </row>
    <row r="433" ht="17.25" customHeight="1">
      <c r="J433" s="54"/>
    </row>
    <row r="434" ht="17.25" customHeight="1">
      <c r="J434" s="54"/>
    </row>
    <row r="435" ht="17.25" customHeight="1">
      <c r="J435" s="54"/>
    </row>
    <row r="436" ht="17.25" customHeight="1">
      <c r="J436" s="54"/>
    </row>
    <row r="437" ht="17.25" customHeight="1">
      <c r="J437" s="54"/>
    </row>
    <row r="438" ht="17.25" customHeight="1">
      <c r="J438" s="54"/>
    </row>
    <row r="439" ht="17.25" customHeight="1">
      <c r="J439" s="54"/>
    </row>
    <row r="440" ht="17.25" customHeight="1">
      <c r="J440" s="54"/>
    </row>
    <row r="441" ht="17.25" customHeight="1">
      <c r="J441" s="54"/>
    </row>
    <row r="442" ht="17.25" customHeight="1">
      <c r="J442" s="54"/>
    </row>
    <row r="443" ht="17.25" customHeight="1">
      <c r="J443" s="54"/>
    </row>
    <row r="444" ht="17.25" customHeight="1">
      <c r="J444" s="54"/>
    </row>
    <row r="445" ht="17.25" customHeight="1">
      <c r="J445" s="54"/>
    </row>
    <row r="446" ht="17.25" customHeight="1">
      <c r="J446" s="54"/>
    </row>
    <row r="447" ht="17.25" customHeight="1">
      <c r="J447" s="54"/>
    </row>
    <row r="448" ht="17.25" customHeight="1">
      <c r="J448" s="54"/>
    </row>
    <row r="449" ht="17.25" customHeight="1">
      <c r="J449" s="54"/>
    </row>
    <row r="450" ht="17.25" customHeight="1">
      <c r="J450" s="54"/>
    </row>
    <row r="451" ht="17.25" customHeight="1">
      <c r="J451" s="54"/>
    </row>
    <row r="452" ht="17.25" customHeight="1">
      <c r="J452" s="54"/>
    </row>
    <row r="453" ht="17.25" customHeight="1">
      <c r="J453" s="54"/>
    </row>
    <row r="454" ht="17.25" customHeight="1">
      <c r="J454" s="54"/>
    </row>
    <row r="455" ht="17.25" customHeight="1">
      <c r="J455" s="54"/>
    </row>
    <row r="456" ht="17.25" customHeight="1">
      <c r="J456" s="54"/>
    </row>
    <row r="457" ht="17.25" customHeight="1">
      <c r="J457" s="54"/>
    </row>
    <row r="458" ht="17.25" customHeight="1">
      <c r="J458" s="54"/>
    </row>
    <row r="459" ht="17.25" customHeight="1">
      <c r="J459" s="54"/>
    </row>
    <row r="460" ht="17.25" customHeight="1">
      <c r="J460" s="54"/>
    </row>
    <row r="461" ht="17.25" customHeight="1">
      <c r="J461" s="54"/>
    </row>
    <row r="462" ht="17.25" customHeight="1">
      <c r="J462" s="54"/>
    </row>
    <row r="463" ht="17.25" customHeight="1">
      <c r="J463" s="54"/>
    </row>
    <row r="464" ht="17.25" customHeight="1">
      <c r="J464" s="54"/>
    </row>
    <row r="465" ht="17.25" customHeight="1">
      <c r="J465" s="54"/>
    </row>
    <row r="466" ht="17.25" customHeight="1">
      <c r="J466" s="54"/>
    </row>
    <row r="467" ht="17.25" customHeight="1">
      <c r="J467" s="54"/>
    </row>
    <row r="468" ht="17.25" customHeight="1">
      <c r="J468" s="54"/>
    </row>
    <row r="469" ht="17.25" customHeight="1">
      <c r="J469" s="54"/>
    </row>
    <row r="470" ht="17.25" customHeight="1">
      <c r="J470" s="54"/>
    </row>
    <row r="471" ht="17.25" customHeight="1">
      <c r="J471" s="54"/>
    </row>
    <row r="472" ht="17.25" customHeight="1">
      <c r="J472" s="54"/>
    </row>
    <row r="473" ht="17.25" customHeight="1">
      <c r="J473" s="54"/>
    </row>
    <row r="474" ht="17.25" customHeight="1">
      <c r="J474" s="54"/>
    </row>
    <row r="475" ht="17.25" customHeight="1">
      <c r="J475" s="54"/>
    </row>
    <row r="476" ht="17.25" customHeight="1">
      <c r="J476" s="54"/>
    </row>
    <row r="477" ht="17.25" customHeight="1">
      <c r="J477" s="54"/>
    </row>
    <row r="478" ht="17.25" customHeight="1">
      <c r="J478" s="54"/>
    </row>
    <row r="479" ht="17.25" customHeight="1">
      <c r="J479" s="54"/>
    </row>
    <row r="480" ht="17.25" customHeight="1">
      <c r="J480" s="54"/>
    </row>
    <row r="481" ht="49.5" customHeight="1">
      <c r="J481" s="54"/>
    </row>
    <row r="482" ht="49.5" customHeight="1">
      <c r="J482" s="54"/>
    </row>
    <row r="483" ht="49.5" customHeight="1">
      <c r="J483" s="54"/>
    </row>
    <row r="484" ht="49.5" customHeight="1">
      <c r="J484" s="54"/>
    </row>
    <row r="485" ht="49.5" customHeight="1">
      <c r="J485" s="54"/>
    </row>
    <row r="486" ht="49.5" customHeight="1">
      <c r="J486" s="54"/>
    </row>
    <row r="487" ht="49.5" customHeight="1">
      <c r="J487" s="54"/>
    </row>
    <row r="488" ht="49.5" customHeight="1">
      <c r="J488" s="54"/>
    </row>
    <row r="489" ht="49.5" customHeight="1">
      <c r="J489" s="54"/>
    </row>
    <row r="490" ht="49.5" customHeight="1">
      <c r="J490" s="54"/>
    </row>
    <row r="491" ht="49.5" customHeight="1">
      <c r="J491" s="54"/>
    </row>
    <row r="492" ht="49.5" customHeight="1">
      <c r="J492" s="54"/>
    </row>
    <row r="493" ht="49.5" customHeight="1">
      <c r="J493" s="54"/>
    </row>
    <row r="494" ht="49.5" customHeight="1">
      <c r="J494" s="54"/>
    </row>
    <row r="495" ht="49.5" customHeight="1">
      <c r="J495" s="54"/>
    </row>
    <row r="496" ht="49.5" customHeight="1">
      <c r="J496" s="54"/>
    </row>
    <row r="497" ht="49.5" customHeight="1">
      <c r="J497" s="54"/>
    </row>
    <row r="498" ht="49.5" customHeight="1">
      <c r="J498" s="54"/>
    </row>
    <row r="499" ht="49.5" customHeight="1">
      <c r="J499" s="54"/>
    </row>
    <row r="500" ht="49.5" customHeight="1">
      <c r="J500" s="54"/>
    </row>
    <row r="501" ht="49.5" customHeight="1">
      <c r="J501" s="54"/>
    </row>
    <row r="502" ht="49.5" customHeight="1">
      <c r="J502" s="54"/>
    </row>
    <row r="503" ht="49.5" customHeight="1">
      <c r="J503" s="54"/>
    </row>
    <row r="504" ht="49.5" customHeight="1">
      <c r="J504" s="54"/>
    </row>
    <row r="505" ht="49.5" customHeight="1">
      <c r="J505" s="54"/>
    </row>
    <row r="506" ht="49.5" customHeight="1">
      <c r="J506" s="54"/>
    </row>
    <row r="507" ht="49.5" customHeight="1">
      <c r="J507" s="54"/>
    </row>
    <row r="508" ht="49.5" customHeight="1">
      <c r="J508" s="54"/>
    </row>
    <row r="509" ht="49.5" customHeight="1">
      <c r="J509" s="54"/>
    </row>
    <row r="510" ht="49.5" customHeight="1">
      <c r="J510" s="54"/>
    </row>
    <row r="511" ht="49.5" customHeight="1">
      <c r="J511" s="54"/>
    </row>
    <row r="512" ht="49.5" customHeight="1">
      <c r="J512" s="54"/>
    </row>
    <row r="513" ht="49.5" customHeight="1">
      <c r="J513" s="54"/>
    </row>
    <row r="514" ht="49.5" customHeight="1">
      <c r="J514" s="54"/>
    </row>
    <row r="515" ht="49.5" customHeight="1">
      <c r="J515" s="54"/>
    </row>
    <row r="516" ht="49.5" customHeight="1">
      <c r="J516" s="54"/>
    </row>
    <row r="517" ht="49.5" customHeight="1">
      <c r="J517" s="54"/>
    </row>
    <row r="518" ht="49.5" customHeight="1">
      <c r="J518" s="54"/>
    </row>
    <row r="519" ht="49.5" customHeight="1">
      <c r="J519" s="54"/>
    </row>
    <row r="520" ht="49.5" customHeight="1">
      <c r="J520" s="54"/>
    </row>
    <row r="521" ht="49.5" customHeight="1">
      <c r="J521" s="54"/>
    </row>
    <row r="522" ht="49.5" customHeight="1">
      <c r="J522" s="54"/>
    </row>
    <row r="523" ht="49.5" customHeight="1">
      <c r="J523" s="54"/>
    </row>
    <row r="524" ht="49.5" customHeight="1">
      <c r="J524" s="54"/>
    </row>
    <row r="525" ht="49.5" customHeight="1">
      <c r="J525" s="54"/>
    </row>
    <row r="526" ht="49.5" customHeight="1">
      <c r="J526" s="54"/>
    </row>
    <row r="527" ht="49.5" customHeight="1">
      <c r="J527" s="54"/>
    </row>
    <row r="528" ht="49.5" customHeight="1">
      <c r="J528" s="54"/>
    </row>
    <row r="529" ht="49.5" customHeight="1">
      <c r="J529" s="54"/>
    </row>
    <row r="530" ht="49.5" customHeight="1">
      <c r="J530" s="54"/>
    </row>
    <row r="531" ht="49.5" customHeight="1">
      <c r="J531" s="54"/>
    </row>
    <row r="532" ht="49.5" customHeight="1">
      <c r="J532" s="54"/>
    </row>
    <row r="533" ht="49.5" customHeight="1">
      <c r="J533" s="54"/>
    </row>
    <row r="534" ht="49.5" customHeight="1">
      <c r="J534" s="54"/>
    </row>
    <row r="535" ht="49.5" customHeight="1">
      <c r="J535" s="54"/>
    </row>
    <row r="536" ht="49.5" customHeight="1">
      <c r="J536" s="54"/>
    </row>
    <row r="537" ht="49.5" customHeight="1">
      <c r="J537" s="54"/>
    </row>
    <row r="538" ht="49.5" customHeight="1">
      <c r="J538" s="54"/>
    </row>
    <row r="539" ht="49.5" customHeight="1">
      <c r="J539" s="54"/>
    </row>
    <row r="540" ht="49.5" customHeight="1">
      <c r="J540" s="54"/>
    </row>
    <row r="541" ht="49.5" customHeight="1">
      <c r="J541" s="54"/>
    </row>
    <row r="542" ht="49.5" customHeight="1">
      <c r="J542" s="54"/>
    </row>
    <row r="543" ht="49.5" customHeight="1">
      <c r="J543" s="54"/>
    </row>
    <row r="544" ht="49.5" customHeight="1">
      <c r="J544" s="54"/>
    </row>
    <row r="545" ht="49.5" customHeight="1">
      <c r="J545" s="54"/>
    </row>
    <row r="546" ht="49.5" customHeight="1">
      <c r="J546" s="54"/>
    </row>
    <row r="547" ht="49.5" customHeight="1">
      <c r="J547" s="54"/>
    </row>
    <row r="548" ht="49.5" customHeight="1">
      <c r="J548" s="54"/>
    </row>
    <row r="549" ht="49.5" customHeight="1">
      <c r="J549" s="54"/>
    </row>
    <row r="550" ht="49.5" customHeight="1">
      <c r="J550" s="54"/>
    </row>
    <row r="551" ht="49.5" customHeight="1">
      <c r="J551" s="54"/>
    </row>
    <row r="552" ht="49.5" customHeight="1">
      <c r="J552" s="54"/>
    </row>
    <row r="553" ht="49.5" customHeight="1">
      <c r="J553" s="54"/>
    </row>
    <row r="554" ht="49.5" customHeight="1">
      <c r="J554" s="54"/>
    </row>
    <row r="555" ht="49.5" customHeight="1">
      <c r="J555" s="54"/>
    </row>
    <row r="556" ht="49.5" customHeight="1">
      <c r="J556" s="54"/>
    </row>
    <row r="557" ht="49.5" customHeight="1">
      <c r="J557" s="54"/>
    </row>
    <row r="558" ht="49.5" customHeight="1">
      <c r="J558" s="54"/>
    </row>
    <row r="559" ht="49.5" customHeight="1">
      <c r="J559" s="54"/>
    </row>
    <row r="560" ht="49.5" customHeight="1">
      <c r="J560" s="54"/>
    </row>
    <row r="561" ht="49.5" customHeight="1">
      <c r="J561" s="54"/>
    </row>
    <row r="562" ht="49.5" customHeight="1">
      <c r="J562" s="54"/>
    </row>
    <row r="563" ht="49.5" customHeight="1">
      <c r="J563" s="54"/>
    </row>
    <row r="564" ht="49.5" customHeight="1">
      <c r="J564" s="54"/>
    </row>
    <row r="565" ht="49.5" customHeight="1">
      <c r="J565" s="54"/>
    </row>
    <row r="566" ht="49.5" customHeight="1">
      <c r="J566" s="54"/>
    </row>
    <row r="567" ht="49.5" customHeight="1">
      <c r="J567" s="54"/>
    </row>
    <row r="568" ht="49.5" customHeight="1">
      <c r="J568" s="54"/>
    </row>
    <row r="569" ht="49.5" customHeight="1">
      <c r="J569" s="54"/>
    </row>
    <row r="570" ht="49.5" customHeight="1">
      <c r="J570" s="54"/>
    </row>
    <row r="571" ht="49.5" customHeight="1">
      <c r="J571" s="54"/>
    </row>
    <row r="572" ht="49.5" customHeight="1">
      <c r="J572" s="54"/>
    </row>
    <row r="573" ht="49.5" customHeight="1">
      <c r="J573" s="54"/>
    </row>
    <row r="574" ht="49.5" customHeight="1">
      <c r="J574" s="54"/>
    </row>
    <row r="575" ht="49.5" customHeight="1">
      <c r="J575" s="54"/>
    </row>
    <row r="576" ht="49.5" customHeight="1">
      <c r="J576" s="54"/>
    </row>
    <row r="577" ht="49.5" customHeight="1">
      <c r="J577" s="54"/>
    </row>
    <row r="578" ht="49.5" customHeight="1">
      <c r="J578" s="54"/>
    </row>
    <row r="579" ht="49.5" customHeight="1">
      <c r="J579" s="54"/>
    </row>
    <row r="580" ht="49.5" customHeight="1">
      <c r="J580" s="54"/>
    </row>
    <row r="581" ht="49.5" customHeight="1">
      <c r="J581" s="54"/>
    </row>
    <row r="582" ht="49.5" customHeight="1">
      <c r="J582" s="54"/>
    </row>
    <row r="583" ht="49.5" customHeight="1">
      <c r="J583" s="54"/>
    </row>
    <row r="584" ht="49.5" customHeight="1">
      <c r="J584" s="54"/>
    </row>
    <row r="585" ht="49.5" customHeight="1">
      <c r="J585" s="54"/>
    </row>
    <row r="586" ht="49.5" customHeight="1">
      <c r="J586" s="54"/>
    </row>
    <row r="587" ht="49.5" customHeight="1">
      <c r="J587" s="54"/>
    </row>
    <row r="588" ht="49.5" customHeight="1">
      <c r="J588" s="54"/>
    </row>
    <row r="589" ht="49.5" customHeight="1">
      <c r="J589" s="54"/>
    </row>
    <row r="590" ht="49.5" customHeight="1">
      <c r="J590" s="54"/>
    </row>
    <row r="591" ht="49.5" customHeight="1">
      <c r="J591" s="54"/>
    </row>
    <row r="592" ht="49.5" customHeight="1">
      <c r="J592" s="54"/>
    </row>
    <row r="593" ht="49.5" customHeight="1">
      <c r="J593" s="54"/>
    </row>
    <row r="594" ht="49.5" customHeight="1">
      <c r="J594" s="54"/>
    </row>
    <row r="595" ht="49.5" customHeight="1">
      <c r="J595" s="54"/>
    </row>
    <row r="596" ht="49.5" customHeight="1">
      <c r="J596" s="54"/>
    </row>
    <row r="597" ht="49.5" customHeight="1">
      <c r="J597" s="54"/>
    </row>
    <row r="598" ht="49.5" customHeight="1">
      <c r="J598" s="54"/>
    </row>
    <row r="599" ht="49.5" customHeight="1">
      <c r="J599" s="54"/>
    </row>
    <row r="600" ht="49.5" customHeight="1">
      <c r="J600" s="54"/>
    </row>
    <row r="601" ht="49.5" customHeight="1">
      <c r="J601" s="54"/>
    </row>
    <row r="602" ht="49.5" customHeight="1">
      <c r="J602" s="54"/>
    </row>
    <row r="603" ht="49.5" customHeight="1">
      <c r="J603" s="54"/>
    </row>
    <row r="604" ht="49.5" customHeight="1">
      <c r="J604" s="54"/>
    </row>
    <row r="605" ht="49.5" customHeight="1">
      <c r="J605" s="54"/>
    </row>
    <row r="606" ht="49.5" customHeight="1">
      <c r="J606" s="54"/>
    </row>
    <row r="607" ht="49.5" customHeight="1">
      <c r="J607" s="54"/>
    </row>
    <row r="608" ht="49.5" customHeight="1">
      <c r="J608" s="54"/>
    </row>
    <row r="609" ht="49.5" customHeight="1">
      <c r="J609" s="54"/>
    </row>
    <row r="610" ht="49.5" customHeight="1">
      <c r="J610" s="54"/>
    </row>
    <row r="611" ht="49.5" customHeight="1">
      <c r="J611" s="54"/>
    </row>
    <row r="612" ht="49.5" customHeight="1">
      <c r="J612" s="54"/>
    </row>
    <row r="613" ht="49.5" customHeight="1">
      <c r="J613" s="54"/>
    </row>
    <row r="614" ht="49.5" customHeight="1">
      <c r="J614" s="54"/>
    </row>
    <row r="615" ht="49.5" customHeight="1">
      <c r="J615" s="54"/>
    </row>
    <row r="616" ht="49.5" customHeight="1">
      <c r="J616" s="54"/>
    </row>
    <row r="617" ht="49.5" customHeight="1">
      <c r="J617" s="54"/>
    </row>
    <row r="618" ht="49.5" customHeight="1">
      <c r="J618" s="54"/>
    </row>
    <row r="619" ht="49.5" customHeight="1">
      <c r="J619" s="54"/>
    </row>
    <row r="620" ht="49.5" customHeight="1">
      <c r="J620" s="54"/>
    </row>
    <row r="621" ht="49.5" customHeight="1">
      <c r="J621" s="54"/>
    </row>
    <row r="622" ht="49.5" customHeight="1">
      <c r="J622" s="54"/>
    </row>
    <row r="623" ht="49.5" customHeight="1">
      <c r="J623" s="54"/>
    </row>
    <row r="624" ht="49.5" customHeight="1">
      <c r="J624" s="54"/>
    </row>
    <row r="625" ht="49.5" customHeight="1">
      <c r="J625" s="54"/>
    </row>
    <row r="626" ht="49.5" customHeight="1">
      <c r="J626" s="54"/>
    </row>
    <row r="627" ht="49.5" customHeight="1">
      <c r="J627" s="54"/>
    </row>
    <row r="628" ht="49.5" customHeight="1">
      <c r="J628" s="54"/>
    </row>
    <row r="629" ht="49.5" customHeight="1">
      <c r="J629" s="54"/>
    </row>
    <row r="630" ht="49.5" customHeight="1">
      <c r="J630" s="54"/>
    </row>
    <row r="631" ht="49.5" customHeight="1">
      <c r="J631" s="54"/>
    </row>
    <row r="632" ht="49.5" customHeight="1">
      <c r="J632" s="54"/>
    </row>
    <row r="633" ht="49.5" customHeight="1">
      <c r="J633" s="54"/>
    </row>
    <row r="634" ht="49.5" customHeight="1">
      <c r="J634" s="54"/>
    </row>
    <row r="635" ht="49.5" customHeight="1">
      <c r="J635" s="54"/>
    </row>
    <row r="636" ht="49.5" customHeight="1">
      <c r="J636" s="54"/>
    </row>
    <row r="637" ht="49.5" customHeight="1">
      <c r="J637" s="54"/>
    </row>
    <row r="638" ht="49.5" customHeight="1">
      <c r="J638" s="54"/>
    </row>
    <row r="639" ht="49.5" customHeight="1">
      <c r="J639" s="54"/>
    </row>
    <row r="640" ht="49.5" customHeight="1">
      <c r="J640" s="54"/>
    </row>
    <row r="641" ht="49.5" customHeight="1">
      <c r="J641" s="54"/>
    </row>
    <row r="642" ht="49.5" customHeight="1">
      <c r="J642" s="54"/>
    </row>
    <row r="643" ht="49.5" customHeight="1">
      <c r="J643" s="54"/>
    </row>
    <row r="644" ht="49.5" customHeight="1">
      <c r="J644" s="54"/>
    </row>
    <row r="645" ht="49.5" customHeight="1">
      <c r="J645" s="54"/>
    </row>
    <row r="646" ht="49.5" customHeight="1">
      <c r="J646" s="54"/>
    </row>
    <row r="647" ht="49.5" customHeight="1">
      <c r="J647" s="54"/>
    </row>
    <row r="648" ht="49.5" customHeight="1">
      <c r="J648" s="54"/>
    </row>
    <row r="649" ht="49.5" customHeight="1">
      <c r="J649" s="54"/>
    </row>
    <row r="650" ht="49.5" customHeight="1">
      <c r="J650" s="54"/>
    </row>
    <row r="651" ht="49.5" customHeight="1">
      <c r="J651" s="54"/>
    </row>
    <row r="652" ht="49.5" customHeight="1">
      <c r="J652" s="54"/>
    </row>
    <row r="653" ht="49.5" customHeight="1">
      <c r="J653" s="54"/>
    </row>
    <row r="654" ht="49.5" customHeight="1">
      <c r="J654" s="54"/>
    </row>
    <row r="655" ht="49.5" customHeight="1">
      <c r="J655" s="54"/>
    </row>
    <row r="656" ht="49.5" customHeight="1">
      <c r="J656" s="54"/>
    </row>
    <row r="657" ht="49.5" customHeight="1">
      <c r="J657" s="54"/>
    </row>
    <row r="658" ht="49.5" customHeight="1">
      <c r="J658" s="54"/>
    </row>
    <row r="659" ht="49.5" customHeight="1">
      <c r="J659" s="54"/>
    </row>
    <row r="660" ht="49.5" customHeight="1">
      <c r="J660" s="54"/>
    </row>
    <row r="661" ht="49.5" customHeight="1">
      <c r="J661" s="54"/>
    </row>
    <row r="662" ht="49.5" customHeight="1">
      <c r="J662" s="54"/>
    </row>
    <row r="663" ht="49.5" customHeight="1">
      <c r="J663" s="54"/>
    </row>
    <row r="664" ht="49.5" customHeight="1">
      <c r="J664" s="54"/>
    </row>
    <row r="665" ht="49.5" customHeight="1">
      <c r="J665" s="54"/>
    </row>
    <row r="666" ht="49.5" customHeight="1">
      <c r="J666" s="54"/>
    </row>
    <row r="667" ht="49.5" customHeight="1">
      <c r="J667" s="54"/>
    </row>
    <row r="668" ht="49.5" customHeight="1">
      <c r="J668" s="54"/>
    </row>
    <row r="669" ht="49.5" customHeight="1">
      <c r="J669" s="54"/>
    </row>
    <row r="670" ht="49.5" customHeight="1">
      <c r="J670" s="54"/>
    </row>
    <row r="671" ht="49.5" customHeight="1">
      <c r="J671" s="54"/>
    </row>
    <row r="672" ht="49.5" customHeight="1">
      <c r="J672" s="54"/>
    </row>
    <row r="673" ht="49.5" customHeight="1">
      <c r="J673" s="54"/>
    </row>
    <row r="674" ht="49.5" customHeight="1">
      <c r="J674" s="54"/>
    </row>
    <row r="675" ht="49.5" customHeight="1">
      <c r="J675" s="54"/>
    </row>
    <row r="676" ht="49.5" customHeight="1">
      <c r="J676" s="54"/>
    </row>
    <row r="677" ht="49.5" customHeight="1">
      <c r="J677" s="54"/>
    </row>
    <row r="678" ht="49.5" customHeight="1">
      <c r="J678" s="54"/>
    </row>
    <row r="679" ht="49.5" customHeight="1">
      <c r="J679" s="54"/>
    </row>
    <row r="680" ht="49.5" customHeight="1">
      <c r="J680" s="54"/>
    </row>
    <row r="681" ht="49.5" customHeight="1">
      <c r="J681" s="54"/>
    </row>
    <row r="682" ht="49.5" customHeight="1">
      <c r="J682" s="54"/>
    </row>
    <row r="683" ht="49.5" customHeight="1">
      <c r="J683" s="54"/>
    </row>
    <row r="684" ht="49.5" customHeight="1">
      <c r="J684" s="54"/>
    </row>
    <row r="685" ht="49.5" customHeight="1">
      <c r="J685" s="54"/>
    </row>
    <row r="686" ht="49.5" customHeight="1">
      <c r="J686" s="54"/>
    </row>
    <row r="687" ht="49.5" customHeight="1">
      <c r="J687" s="54"/>
    </row>
    <row r="688" ht="49.5" customHeight="1">
      <c r="J688" s="54"/>
    </row>
    <row r="689" ht="49.5" customHeight="1">
      <c r="J689" s="54"/>
    </row>
    <row r="690" ht="49.5" customHeight="1">
      <c r="J690" s="54"/>
    </row>
    <row r="691" ht="49.5" customHeight="1">
      <c r="J691" s="54"/>
    </row>
    <row r="692" ht="49.5" customHeight="1">
      <c r="J692" s="54"/>
    </row>
    <row r="693" ht="49.5" customHeight="1">
      <c r="J693" s="54"/>
    </row>
    <row r="694" ht="49.5" customHeight="1">
      <c r="J694" s="54"/>
    </row>
    <row r="695" ht="49.5" customHeight="1">
      <c r="J695" s="54"/>
    </row>
    <row r="696" ht="49.5" customHeight="1">
      <c r="J696" s="54"/>
    </row>
    <row r="697" ht="49.5" customHeight="1">
      <c r="J697" s="54"/>
    </row>
    <row r="698" ht="49.5" customHeight="1">
      <c r="J698" s="54"/>
    </row>
    <row r="699" ht="49.5" customHeight="1">
      <c r="J699" s="54"/>
    </row>
    <row r="700" ht="49.5" customHeight="1">
      <c r="J700" s="54"/>
    </row>
    <row r="701" ht="49.5" customHeight="1">
      <c r="J701" s="54"/>
    </row>
    <row r="702" ht="49.5" customHeight="1">
      <c r="J702" s="54"/>
    </row>
    <row r="703" ht="49.5" customHeight="1">
      <c r="J703" s="54"/>
    </row>
    <row r="704" ht="49.5" customHeight="1">
      <c r="J704" s="54"/>
    </row>
    <row r="705" ht="49.5" customHeight="1">
      <c r="J705" s="54"/>
    </row>
    <row r="706" ht="49.5" customHeight="1">
      <c r="J706" s="54"/>
    </row>
    <row r="707" ht="49.5" customHeight="1">
      <c r="J707" s="54"/>
    </row>
    <row r="708" ht="49.5" customHeight="1">
      <c r="J708" s="54"/>
    </row>
    <row r="709" ht="49.5" customHeight="1">
      <c r="J709" s="54"/>
    </row>
    <row r="710" ht="49.5" customHeight="1">
      <c r="J710" s="54"/>
    </row>
    <row r="711" ht="49.5" customHeight="1">
      <c r="J711" s="54"/>
    </row>
    <row r="712" ht="49.5" customHeight="1">
      <c r="J712" s="54"/>
    </row>
    <row r="713" ht="49.5" customHeight="1">
      <c r="J713" s="54"/>
    </row>
    <row r="714" ht="49.5" customHeight="1">
      <c r="J714" s="54"/>
    </row>
    <row r="715" ht="49.5" customHeight="1">
      <c r="J715" s="54"/>
    </row>
    <row r="716" ht="49.5" customHeight="1">
      <c r="J716" s="54"/>
    </row>
    <row r="717" ht="49.5" customHeight="1">
      <c r="J717" s="54"/>
    </row>
    <row r="718" ht="49.5" customHeight="1">
      <c r="J718" s="54"/>
    </row>
    <row r="719" ht="49.5" customHeight="1">
      <c r="J719" s="54"/>
    </row>
    <row r="720" ht="49.5" customHeight="1">
      <c r="J720" s="54"/>
    </row>
    <row r="721" ht="49.5" customHeight="1">
      <c r="J721" s="54"/>
    </row>
    <row r="722" ht="49.5" customHeight="1">
      <c r="J722" s="54"/>
    </row>
    <row r="723" ht="49.5" customHeight="1">
      <c r="J723" s="54"/>
    </row>
    <row r="724" ht="49.5" customHeight="1">
      <c r="J724" s="54"/>
    </row>
    <row r="725" ht="49.5" customHeight="1">
      <c r="J725" s="54"/>
    </row>
    <row r="726" ht="49.5" customHeight="1">
      <c r="J726" s="54"/>
    </row>
    <row r="727" ht="49.5" customHeight="1">
      <c r="J727" s="54"/>
    </row>
    <row r="728" ht="49.5" customHeight="1">
      <c r="J728" s="54"/>
    </row>
    <row r="729" ht="49.5" customHeight="1">
      <c r="J729" s="54"/>
    </row>
    <row r="730" ht="49.5" customHeight="1">
      <c r="J730" s="54"/>
    </row>
    <row r="731" ht="49.5" customHeight="1">
      <c r="J731" s="54"/>
    </row>
    <row r="732" ht="49.5" customHeight="1">
      <c r="J732" s="54"/>
    </row>
    <row r="733" ht="49.5" customHeight="1">
      <c r="J733" s="54"/>
    </row>
    <row r="734" ht="49.5" customHeight="1">
      <c r="J734" s="54"/>
    </row>
    <row r="735" ht="49.5" customHeight="1">
      <c r="J735" s="54"/>
    </row>
    <row r="736" ht="49.5" customHeight="1">
      <c r="J736" s="54"/>
    </row>
    <row r="737" ht="49.5" customHeight="1">
      <c r="J737" s="54"/>
    </row>
    <row r="738" ht="49.5" customHeight="1">
      <c r="J738" s="54"/>
    </row>
    <row r="739" ht="49.5" customHeight="1">
      <c r="J739" s="54"/>
    </row>
    <row r="740" ht="49.5" customHeight="1">
      <c r="J740" s="54"/>
    </row>
    <row r="741" ht="49.5" customHeight="1">
      <c r="J741" s="54"/>
    </row>
    <row r="742" ht="49.5" customHeight="1">
      <c r="J742" s="54"/>
    </row>
    <row r="743" ht="49.5" customHeight="1">
      <c r="J743" s="54"/>
    </row>
    <row r="744" ht="49.5" customHeight="1">
      <c r="J744" s="54"/>
    </row>
    <row r="745" ht="49.5" customHeight="1">
      <c r="J745" s="54"/>
    </row>
    <row r="746" ht="49.5" customHeight="1">
      <c r="J746" s="54"/>
    </row>
    <row r="747" ht="49.5" customHeight="1">
      <c r="J747" s="54"/>
    </row>
    <row r="748" ht="49.5" customHeight="1">
      <c r="J748" s="54"/>
    </row>
    <row r="749" ht="49.5" customHeight="1">
      <c r="J749" s="54"/>
    </row>
    <row r="750" ht="49.5" customHeight="1">
      <c r="J750" s="54"/>
    </row>
    <row r="751" ht="49.5" customHeight="1">
      <c r="J751" s="54"/>
    </row>
    <row r="752" ht="49.5" customHeight="1">
      <c r="J752" s="54"/>
    </row>
    <row r="753" ht="49.5" customHeight="1">
      <c r="J753" s="54"/>
    </row>
    <row r="754" ht="49.5" customHeight="1">
      <c r="J754" s="54"/>
    </row>
    <row r="755" ht="49.5" customHeight="1">
      <c r="J755" s="54"/>
    </row>
    <row r="756" ht="49.5" customHeight="1">
      <c r="J756" s="54"/>
    </row>
    <row r="757" ht="49.5" customHeight="1">
      <c r="J757" s="54"/>
    </row>
    <row r="758" ht="49.5" customHeight="1">
      <c r="J758" s="54"/>
    </row>
    <row r="759" ht="49.5" customHeight="1">
      <c r="J759" s="54"/>
    </row>
    <row r="760" ht="49.5" customHeight="1">
      <c r="J760" s="54"/>
    </row>
    <row r="761" ht="49.5" customHeight="1">
      <c r="J761" s="54"/>
    </row>
    <row r="762" ht="49.5" customHeight="1">
      <c r="J762" s="54"/>
    </row>
    <row r="763" ht="49.5" customHeight="1">
      <c r="J763" s="54"/>
    </row>
    <row r="764" ht="49.5" customHeight="1">
      <c r="J764" s="54"/>
    </row>
    <row r="765" ht="49.5" customHeight="1">
      <c r="J765" s="54"/>
    </row>
    <row r="766" ht="49.5" customHeight="1">
      <c r="J766" s="54"/>
    </row>
    <row r="767" ht="49.5" customHeight="1">
      <c r="J767" s="54"/>
    </row>
    <row r="768" ht="49.5" customHeight="1">
      <c r="J768" s="54"/>
    </row>
    <row r="769" ht="49.5" customHeight="1">
      <c r="J769" s="54"/>
    </row>
    <row r="770" ht="49.5" customHeight="1">
      <c r="J770" s="54"/>
    </row>
    <row r="771" ht="49.5" customHeight="1">
      <c r="J771" s="54"/>
    </row>
    <row r="772" ht="49.5" customHeight="1">
      <c r="J772" s="54"/>
    </row>
    <row r="773" ht="49.5" customHeight="1">
      <c r="J773" s="54"/>
    </row>
    <row r="774" ht="49.5" customHeight="1">
      <c r="J774" s="54"/>
    </row>
    <row r="775" ht="49.5" customHeight="1">
      <c r="J775" s="54"/>
    </row>
    <row r="776" ht="49.5" customHeight="1">
      <c r="J776" s="54"/>
    </row>
    <row r="777" ht="49.5" customHeight="1">
      <c r="J777" s="54"/>
    </row>
    <row r="778" ht="49.5" customHeight="1">
      <c r="J778" s="54"/>
    </row>
    <row r="779" ht="49.5" customHeight="1">
      <c r="J779" s="54"/>
    </row>
    <row r="780" ht="49.5" customHeight="1">
      <c r="J780" s="54"/>
    </row>
    <row r="781" ht="49.5" customHeight="1">
      <c r="J781" s="54"/>
    </row>
    <row r="782" ht="49.5" customHeight="1">
      <c r="J782" s="54"/>
    </row>
    <row r="783" ht="49.5" customHeight="1">
      <c r="J783" s="54"/>
    </row>
    <row r="784" ht="49.5" customHeight="1">
      <c r="J784" s="54"/>
    </row>
    <row r="785" ht="49.5" customHeight="1">
      <c r="J785" s="54"/>
    </row>
    <row r="786" ht="49.5" customHeight="1">
      <c r="J786" s="54"/>
    </row>
    <row r="787" ht="49.5" customHeight="1">
      <c r="J787" s="54"/>
    </row>
    <row r="788" ht="49.5" customHeight="1">
      <c r="J788" s="54"/>
    </row>
    <row r="789" ht="49.5" customHeight="1">
      <c r="J789" s="54"/>
    </row>
    <row r="790" ht="49.5" customHeight="1">
      <c r="J790" s="54"/>
    </row>
    <row r="791" ht="49.5" customHeight="1">
      <c r="J791" s="54"/>
    </row>
    <row r="792" ht="49.5" customHeight="1">
      <c r="J792" s="54"/>
    </row>
    <row r="793" ht="49.5" customHeight="1">
      <c r="J793" s="54"/>
    </row>
    <row r="794" ht="49.5" customHeight="1">
      <c r="J794" s="54"/>
    </row>
    <row r="795" ht="49.5" customHeight="1">
      <c r="J795" s="54"/>
    </row>
    <row r="796" ht="49.5" customHeight="1">
      <c r="J796" s="54"/>
    </row>
    <row r="797" ht="49.5" customHeight="1">
      <c r="J797" s="54"/>
    </row>
    <row r="798" ht="49.5" customHeight="1">
      <c r="J798" s="54"/>
    </row>
    <row r="799" ht="49.5" customHeight="1">
      <c r="J799" s="54"/>
    </row>
    <row r="800" ht="49.5" customHeight="1">
      <c r="J800" s="54"/>
    </row>
    <row r="801" ht="49.5" customHeight="1">
      <c r="J801" s="54"/>
    </row>
    <row r="802" ht="49.5" customHeight="1">
      <c r="J802" s="54"/>
    </row>
    <row r="803" ht="49.5" customHeight="1">
      <c r="J803" s="54"/>
    </row>
    <row r="804" ht="49.5" customHeight="1">
      <c r="J804" s="54"/>
    </row>
    <row r="805" ht="49.5" customHeight="1">
      <c r="J805" s="54"/>
    </row>
    <row r="806" ht="49.5" customHeight="1">
      <c r="J806" s="54"/>
    </row>
    <row r="807" ht="49.5" customHeight="1">
      <c r="J807" s="54"/>
    </row>
    <row r="808" ht="49.5" customHeight="1">
      <c r="J808" s="54"/>
    </row>
    <row r="809" ht="49.5" customHeight="1">
      <c r="J809" s="54"/>
    </row>
    <row r="810" ht="49.5" customHeight="1">
      <c r="J810" s="54"/>
    </row>
    <row r="811" ht="49.5" customHeight="1">
      <c r="J811" s="54"/>
    </row>
    <row r="812" ht="49.5" customHeight="1">
      <c r="J812" s="54"/>
    </row>
    <row r="813" ht="49.5" customHeight="1">
      <c r="J813" s="54"/>
    </row>
    <row r="814" ht="49.5" customHeight="1">
      <c r="J814" s="54"/>
    </row>
    <row r="815" ht="49.5" customHeight="1">
      <c r="J815" s="54"/>
    </row>
    <row r="816" ht="49.5" customHeight="1">
      <c r="J816" s="54"/>
    </row>
    <row r="817" ht="49.5" customHeight="1">
      <c r="J817" s="54"/>
    </row>
    <row r="818" ht="49.5" customHeight="1">
      <c r="J818" s="54"/>
    </row>
    <row r="819" ht="49.5" customHeight="1">
      <c r="J819" s="54"/>
    </row>
    <row r="820" ht="49.5" customHeight="1">
      <c r="J820" s="54"/>
    </row>
    <row r="821" ht="49.5" customHeight="1">
      <c r="J821" s="54"/>
    </row>
    <row r="822" ht="49.5" customHeight="1">
      <c r="J822" s="54"/>
    </row>
    <row r="823" ht="49.5" customHeight="1">
      <c r="J823" s="54"/>
    </row>
    <row r="824" ht="49.5" customHeight="1">
      <c r="J824" s="54"/>
    </row>
    <row r="825" ht="49.5" customHeight="1">
      <c r="J825" s="54"/>
    </row>
    <row r="826" ht="49.5" customHeight="1">
      <c r="J826" s="54"/>
    </row>
    <row r="827" ht="49.5" customHeight="1">
      <c r="J827" s="54"/>
    </row>
    <row r="828" ht="49.5" customHeight="1">
      <c r="J828" s="54"/>
    </row>
    <row r="829" ht="49.5" customHeight="1">
      <c r="J829" s="54"/>
    </row>
    <row r="830" ht="49.5" customHeight="1">
      <c r="J830" s="54"/>
    </row>
    <row r="831" ht="49.5" customHeight="1">
      <c r="J831" s="54"/>
    </row>
    <row r="832" ht="49.5" customHeight="1">
      <c r="J832" s="54"/>
    </row>
    <row r="833" ht="49.5" customHeight="1">
      <c r="J833" s="54"/>
    </row>
    <row r="834" ht="49.5" customHeight="1">
      <c r="J834" s="54"/>
    </row>
    <row r="835" ht="49.5" customHeight="1">
      <c r="J835" s="54"/>
    </row>
    <row r="836" ht="49.5" customHeight="1">
      <c r="J836" s="54"/>
    </row>
    <row r="837" ht="49.5" customHeight="1">
      <c r="J837" s="54"/>
    </row>
    <row r="838" ht="49.5" customHeight="1">
      <c r="J838" s="54"/>
    </row>
    <row r="839" ht="49.5" customHeight="1">
      <c r="J839" s="54"/>
    </row>
    <row r="840" ht="49.5" customHeight="1">
      <c r="J840" s="54"/>
    </row>
    <row r="841" ht="49.5" customHeight="1">
      <c r="J841" s="54"/>
    </row>
    <row r="842" ht="49.5" customHeight="1">
      <c r="J842" s="54"/>
    </row>
    <row r="843" ht="49.5" customHeight="1">
      <c r="J843" s="54"/>
    </row>
    <row r="844" ht="49.5" customHeight="1">
      <c r="J844" s="54"/>
    </row>
    <row r="845" ht="49.5" customHeight="1">
      <c r="J845" s="54"/>
    </row>
    <row r="846" ht="49.5" customHeight="1">
      <c r="J846" s="54"/>
    </row>
    <row r="847" ht="49.5" customHeight="1">
      <c r="J847" s="54"/>
    </row>
    <row r="848" ht="49.5" customHeight="1">
      <c r="J848" s="54"/>
    </row>
    <row r="849" ht="49.5" customHeight="1">
      <c r="J849" s="54"/>
    </row>
    <row r="850" ht="49.5" customHeight="1">
      <c r="J850" s="54"/>
    </row>
    <row r="851" ht="49.5" customHeight="1">
      <c r="J851" s="54"/>
    </row>
    <row r="852" ht="49.5" customHeight="1">
      <c r="J852" s="54"/>
    </row>
    <row r="853" ht="49.5" customHeight="1">
      <c r="J853" s="54"/>
    </row>
    <row r="854" ht="49.5" customHeight="1">
      <c r="J854" s="54"/>
    </row>
    <row r="855" ht="49.5" customHeight="1">
      <c r="J855" s="54"/>
    </row>
    <row r="856" ht="49.5" customHeight="1">
      <c r="J856" s="54"/>
    </row>
    <row r="857" ht="49.5" customHeight="1">
      <c r="J857" s="54"/>
    </row>
    <row r="858" ht="49.5" customHeight="1">
      <c r="J858" s="54"/>
    </row>
    <row r="859" ht="49.5" customHeight="1">
      <c r="J859" s="54"/>
    </row>
    <row r="860" ht="49.5" customHeight="1">
      <c r="J860" s="54"/>
    </row>
    <row r="861" ht="49.5" customHeight="1">
      <c r="J861" s="54"/>
    </row>
    <row r="862" ht="49.5" customHeight="1">
      <c r="J862" s="54"/>
    </row>
    <row r="863" ht="49.5" customHeight="1">
      <c r="J863" s="54"/>
    </row>
    <row r="864" ht="49.5" customHeight="1">
      <c r="J864" s="54"/>
    </row>
    <row r="865" ht="49.5" customHeight="1">
      <c r="J865" s="54"/>
    </row>
    <row r="866" ht="49.5" customHeight="1">
      <c r="J866" s="54"/>
    </row>
    <row r="867" ht="49.5" customHeight="1">
      <c r="J867" s="54"/>
    </row>
    <row r="868" ht="49.5" customHeight="1">
      <c r="J868" s="54"/>
    </row>
    <row r="869" ht="49.5" customHeight="1">
      <c r="J869" s="54"/>
    </row>
    <row r="870" ht="49.5" customHeight="1">
      <c r="J870" s="54"/>
    </row>
    <row r="871" ht="49.5" customHeight="1">
      <c r="J871" s="54"/>
    </row>
    <row r="872" ht="49.5" customHeight="1">
      <c r="J872" s="54"/>
    </row>
    <row r="873" ht="49.5" customHeight="1">
      <c r="J873" s="54"/>
    </row>
    <row r="874" ht="49.5" customHeight="1">
      <c r="J874" s="54"/>
    </row>
    <row r="875" ht="49.5" customHeight="1">
      <c r="J875" s="54"/>
    </row>
    <row r="876" ht="49.5" customHeight="1">
      <c r="J876" s="54"/>
    </row>
    <row r="877" ht="49.5" customHeight="1">
      <c r="J877" s="54"/>
    </row>
    <row r="878" ht="49.5" customHeight="1">
      <c r="J878" s="54"/>
    </row>
    <row r="879" ht="49.5" customHeight="1">
      <c r="J879" s="54"/>
    </row>
    <row r="880" ht="49.5" customHeight="1">
      <c r="J880" s="54"/>
    </row>
    <row r="881" ht="49.5" customHeight="1">
      <c r="J881" s="54"/>
    </row>
    <row r="882" ht="49.5" customHeight="1">
      <c r="J882" s="54"/>
    </row>
    <row r="883" ht="49.5" customHeight="1">
      <c r="J883" s="54"/>
    </row>
    <row r="884" ht="49.5" customHeight="1">
      <c r="J884" s="54"/>
    </row>
    <row r="885" ht="49.5" customHeight="1">
      <c r="J885" s="54"/>
    </row>
    <row r="886" ht="49.5" customHeight="1">
      <c r="J886" s="54"/>
    </row>
    <row r="887" ht="49.5" customHeight="1">
      <c r="J887" s="54"/>
    </row>
    <row r="888" ht="49.5" customHeight="1">
      <c r="J888" s="54"/>
    </row>
    <row r="889" ht="49.5" customHeight="1">
      <c r="J889" s="54"/>
    </row>
    <row r="890" ht="49.5" customHeight="1">
      <c r="J890" s="54"/>
    </row>
    <row r="891" ht="49.5" customHeight="1">
      <c r="J891" s="54"/>
    </row>
    <row r="892" ht="49.5" customHeight="1">
      <c r="J892" s="54"/>
    </row>
    <row r="893" ht="49.5" customHeight="1">
      <c r="J893" s="54"/>
    </row>
    <row r="894" ht="49.5" customHeight="1">
      <c r="J894" s="54"/>
    </row>
    <row r="895" ht="49.5" customHeight="1">
      <c r="J895" s="54"/>
    </row>
    <row r="896" ht="49.5" customHeight="1">
      <c r="J896" s="54"/>
    </row>
    <row r="897" ht="49.5" customHeight="1">
      <c r="J897" s="54"/>
    </row>
    <row r="898" ht="49.5" customHeight="1">
      <c r="J898" s="54"/>
    </row>
    <row r="899" ht="49.5" customHeight="1">
      <c r="J899" s="54"/>
    </row>
    <row r="900" ht="49.5" customHeight="1">
      <c r="J900" s="54"/>
    </row>
    <row r="901" ht="49.5" customHeight="1">
      <c r="J901" s="54"/>
    </row>
    <row r="902" ht="49.5" customHeight="1">
      <c r="J902" s="54"/>
    </row>
    <row r="903" ht="49.5" customHeight="1">
      <c r="J903" s="54"/>
    </row>
    <row r="904" ht="49.5" customHeight="1">
      <c r="J904" s="54"/>
    </row>
    <row r="905" ht="49.5" customHeight="1">
      <c r="J905" s="54"/>
    </row>
    <row r="906" ht="49.5" customHeight="1">
      <c r="J906" s="54"/>
    </row>
    <row r="907" ht="49.5" customHeight="1">
      <c r="J907" s="54"/>
    </row>
    <row r="908" ht="49.5" customHeight="1">
      <c r="J908" s="54"/>
    </row>
    <row r="909" ht="49.5" customHeight="1">
      <c r="J909" s="54"/>
    </row>
    <row r="910" ht="49.5" customHeight="1">
      <c r="J910" s="54"/>
    </row>
    <row r="911" ht="49.5" customHeight="1">
      <c r="J911" s="54"/>
    </row>
    <row r="912" ht="49.5" customHeight="1">
      <c r="J912" s="54"/>
    </row>
    <row r="913" ht="49.5" customHeight="1">
      <c r="J913" s="54"/>
    </row>
    <row r="914" ht="49.5" customHeight="1">
      <c r="J914" s="54"/>
    </row>
    <row r="915" ht="49.5" customHeight="1">
      <c r="J915" s="54"/>
    </row>
    <row r="916" ht="49.5" customHeight="1">
      <c r="J916" s="54"/>
    </row>
    <row r="917" ht="49.5" customHeight="1">
      <c r="J917" s="54"/>
    </row>
    <row r="918" ht="49.5" customHeight="1">
      <c r="J918" s="54"/>
    </row>
    <row r="919" ht="49.5" customHeight="1">
      <c r="J919" s="54"/>
    </row>
    <row r="920" ht="49.5" customHeight="1">
      <c r="J920" s="54"/>
    </row>
    <row r="921" ht="49.5" customHeight="1">
      <c r="J921" s="54"/>
    </row>
    <row r="922" ht="49.5" customHeight="1">
      <c r="J922" s="54"/>
    </row>
    <row r="923" ht="49.5" customHeight="1">
      <c r="J923" s="54"/>
    </row>
    <row r="924" ht="49.5" customHeight="1">
      <c r="J924" s="54"/>
    </row>
    <row r="925" ht="49.5" customHeight="1">
      <c r="J925" s="54"/>
    </row>
    <row r="926" ht="49.5" customHeight="1">
      <c r="J926" s="54"/>
    </row>
    <row r="927" ht="49.5" customHeight="1">
      <c r="J927" s="54"/>
    </row>
    <row r="928" ht="49.5" customHeight="1">
      <c r="J928" s="54"/>
    </row>
    <row r="929" ht="49.5" customHeight="1">
      <c r="J929" s="54"/>
    </row>
    <row r="930" ht="49.5" customHeight="1">
      <c r="J930" s="54"/>
    </row>
    <row r="931" ht="49.5" customHeight="1">
      <c r="J931" s="54"/>
    </row>
    <row r="932" ht="49.5" customHeight="1">
      <c r="J932" s="54"/>
    </row>
    <row r="933" ht="49.5" customHeight="1">
      <c r="J933" s="54"/>
    </row>
    <row r="934" ht="49.5" customHeight="1">
      <c r="J934" s="54"/>
    </row>
    <row r="935" ht="49.5" customHeight="1">
      <c r="J935" s="54"/>
    </row>
    <row r="936" ht="49.5" customHeight="1">
      <c r="J936" s="54"/>
    </row>
    <row r="937" ht="49.5" customHeight="1">
      <c r="J937" s="54"/>
    </row>
    <row r="938" ht="49.5" customHeight="1">
      <c r="J938" s="54"/>
    </row>
    <row r="939" ht="49.5" customHeight="1">
      <c r="J939" s="54"/>
    </row>
    <row r="940" ht="49.5" customHeight="1">
      <c r="J940" s="54"/>
    </row>
    <row r="941" ht="49.5" customHeight="1">
      <c r="J941" s="54"/>
    </row>
    <row r="942" ht="49.5" customHeight="1">
      <c r="J942" s="54"/>
    </row>
    <row r="943" ht="49.5" customHeight="1">
      <c r="J943" s="54"/>
    </row>
    <row r="944" ht="49.5" customHeight="1">
      <c r="J944" s="54"/>
    </row>
    <row r="945" ht="49.5" customHeight="1">
      <c r="J945" s="54"/>
    </row>
    <row r="946" ht="49.5" customHeight="1">
      <c r="J946" s="54"/>
    </row>
    <row r="947" ht="49.5" customHeight="1">
      <c r="J947" s="54"/>
    </row>
    <row r="948" ht="49.5" customHeight="1">
      <c r="J948" s="54"/>
    </row>
    <row r="949" ht="49.5" customHeight="1">
      <c r="J949" s="54"/>
    </row>
    <row r="950" ht="49.5" customHeight="1">
      <c r="J950" s="54"/>
    </row>
    <row r="951" ht="49.5" customHeight="1">
      <c r="J951" s="54"/>
    </row>
    <row r="952" ht="49.5" customHeight="1">
      <c r="J952" s="54"/>
    </row>
    <row r="953" ht="49.5" customHeight="1">
      <c r="J953" s="54"/>
    </row>
    <row r="954" ht="49.5" customHeight="1">
      <c r="J954" s="54"/>
    </row>
    <row r="955" ht="49.5" customHeight="1">
      <c r="J955" s="54"/>
    </row>
    <row r="956" ht="49.5" customHeight="1">
      <c r="J956" s="54"/>
    </row>
    <row r="957" ht="49.5" customHeight="1">
      <c r="J957" s="54"/>
    </row>
    <row r="958" ht="49.5" customHeight="1">
      <c r="J958" s="54"/>
    </row>
    <row r="959" ht="49.5" customHeight="1">
      <c r="J959" s="54"/>
    </row>
    <row r="960" ht="49.5" customHeight="1">
      <c r="J960" s="54"/>
    </row>
    <row r="961" ht="49.5" customHeight="1">
      <c r="J961" s="54"/>
    </row>
    <row r="962" ht="49.5" customHeight="1">
      <c r="J962" s="54"/>
    </row>
    <row r="963" ht="49.5" customHeight="1">
      <c r="J963" s="54"/>
    </row>
    <row r="964" ht="49.5" customHeight="1">
      <c r="J964" s="54"/>
    </row>
    <row r="965" ht="49.5" customHeight="1">
      <c r="J965" s="54"/>
    </row>
    <row r="966" ht="49.5" customHeight="1">
      <c r="J966" s="54"/>
    </row>
    <row r="967" ht="49.5" customHeight="1">
      <c r="J967" s="54"/>
    </row>
    <row r="968" ht="49.5" customHeight="1">
      <c r="J968" s="54"/>
    </row>
    <row r="969" ht="49.5" customHeight="1">
      <c r="J969" s="54"/>
    </row>
    <row r="970" ht="49.5" customHeight="1">
      <c r="J970" s="54"/>
    </row>
    <row r="971" ht="49.5" customHeight="1">
      <c r="J971" s="54"/>
    </row>
    <row r="972" ht="49.5" customHeight="1">
      <c r="J972" s="54"/>
    </row>
    <row r="973" ht="49.5" customHeight="1">
      <c r="J973" s="54"/>
    </row>
    <row r="974" ht="49.5" customHeight="1">
      <c r="J974" s="54"/>
    </row>
    <row r="975" ht="49.5" customHeight="1">
      <c r="J975" s="54"/>
    </row>
    <row r="976" ht="49.5" customHeight="1">
      <c r="J976" s="54"/>
    </row>
    <row r="977" ht="49.5" customHeight="1">
      <c r="J977" s="54"/>
    </row>
    <row r="978" ht="49.5" customHeight="1">
      <c r="J978" s="54"/>
    </row>
    <row r="979" ht="49.5" customHeight="1">
      <c r="J979" s="54"/>
    </row>
    <row r="980" ht="49.5" customHeight="1">
      <c r="J980" s="54"/>
    </row>
    <row r="981" ht="49.5" customHeight="1">
      <c r="J981" s="54"/>
    </row>
    <row r="982" ht="49.5" customHeight="1">
      <c r="J982" s="54"/>
    </row>
    <row r="983" ht="49.5" customHeight="1">
      <c r="J983" s="54"/>
    </row>
    <row r="984" ht="49.5" customHeight="1">
      <c r="J984" s="54"/>
    </row>
    <row r="985" ht="49.5" customHeight="1">
      <c r="J985" s="54"/>
    </row>
    <row r="986" ht="49.5" customHeight="1">
      <c r="J986" s="54"/>
    </row>
    <row r="987" ht="49.5" customHeight="1">
      <c r="J987" s="54"/>
    </row>
    <row r="988" ht="49.5" customHeight="1">
      <c r="J988" s="54"/>
    </row>
    <row r="989" ht="49.5" customHeight="1">
      <c r="J989" s="54"/>
    </row>
    <row r="990" ht="49.5" customHeight="1">
      <c r="J990" s="54"/>
    </row>
    <row r="991" ht="49.5" customHeight="1">
      <c r="J991" s="54"/>
    </row>
    <row r="992" ht="49.5" customHeight="1">
      <c r="J992" s="54"/>
    </row>
    <row r="993" ht="49.5" customHeight="1">
      <c r="J993" s="54"/>
    </row>
    <row r="994" ht="49.5" customHeight="1">
      <c r="J994" s="54"/>
    </row>
    <row r="995" ht="49.5" customHeight="1">
      <c r="J995" s="54"/>
    </row>
    <row r="996" ht="49.5" customHeight="1">
      <c r="J996" s="54"/>
    </row>
    <row r="997" ht="49.5" customHeight="1">
      <c r="J997" s="54"/>
    </row>
    <row r="998" ht="49.5" customHeight="1">
      <c r="J998" s="54"/>
    </row>
    <row r="999" ht="49.5" customHeight="1">
      <c r="J999" s="54"/>
    </row>
    <row r="1000" ht="49.5" customHeight="1">
      <c r="J1000" s="54"/>
    </row>
    <row r="1001" ht="49.5" customHeight="1">
      <c r="J1001" s="54"/>
    </row>
    <row r="1002" ht="49.5" customHeight="1">
      <c r="J1002" s="54"/>
    </row>
    <row r="1003" ht="49.5" customHeight="1">
      <c r="J1003" s="54"/>
    </row>
    <row r="1004" ht="49.5" customHeight="1">
      <c r="J1004" s="54"/>
    </row>
    <row r="1005" ht="49.5" customHeight="1">
      <c r="J1005" s="54"/>
    </row>
    <row r="1006" ht="49.5" customHeight="1">
      <c r="J1006" s="54"/>
    </row>
    <row r="1007" ht="49.5" customHeight="1">
      <c r="J1007" s="54"/>
    </row>
    <row r="1008" ht="49.5" customHeight="1">
      <c r="J1008" s="54"/>
    </row>
    <row r="1009" ht="49.5" customHeight="1">
      <c r="J1009" s="54"/>
    </row>
    <row r="1010" ht="49.5" customHeight="1">
      <c r="J1010" s="54"/>
    </row>
    <row r="1011" ht="49.5" customHeight="1">
      <c r="J1011" s="54"/>
    </row>
    <row r="1012" ht="49.5" customHeight="1">
      <c r="J1012" s="54"/>
    </row>
    <row r="1013" ht="49.5" customHeight="1">
      <c r="J1013" s="54"/>
    </row>
    <row r="1014" ht="49.5" customHeight="1">
      <c r="J1014" s="54"/>
    </row>
    <row r="1015" ht="49.5" customHeight="1">
      <c r="J1015" s="54"/>
    </row>
    <row r="1016" ht="49.5" customHeight="1">
      <c r="J1016" s="54"/>
    </row>
    <row r="1017" ht="49.5" customHeight="1">
      <c r="J1017" s="54"/>
    </row>
    <row r="1018" ht="49.5" customHeight="1">
      <c r="J1018" s="54"/>
    </row>
    <row r="1019" ht="49.5" customHeight="1">
      <c r="J1019" s="54"/>
    </row>
    <row r="1020" ht="49.5" customHeight="1">
      <c r="J1020" s="54"/>
    </row>
    <row r="1021" ht="49.5" customHeight="1">
      <c r="J1021" s="54"/>
    </row>
    <row r="1022" ht="49.5" customHeight="1">
      <c r="J1022" s="54"/>
    </row>
  </sheetData>
  <mergeCells count="3">
    <mergeCell ref="J1:J3"/>
    <mergeCell ref="J4:J6"/>
    <mergeCell ref="J7:J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s>
  <sheetData>
    <row r="1">
      <c r="A1" s="45" t="s">
        <v>183</v>
      </c>
      <c r="B1" s="46" t="s">
        <v>110</v>
      </c>
      <c r="C1" s="46" t="s">
        <v>111</v>
      </c>
      <c r="D1" s="46" t="s">
        <v>112</v>
      </c>
      <c r="E1" s="46" t="s">
        <v>120</v>
      </c>
      <c r="F1" s="46" t="s">
        <v>114</v>
      </c>
      <c r="G1" s="46" t="s">
        <v>115</v>
      </c>
      <c r="H1" s="46" t="s">
        <v>116</v>
      </c>
      <c r="I1" s="46" t="s">
        <v>117</v>
      </c>
    </row>
    <row r="2">
      <c r="A2" s="28" t="s">
        <v>162</v>
      </c>
      <c r="B2" s="67">
        <f>37/50</f>
        <v>0.74</v>
      </c>
      <c r="C2" s="67">
        <f>13/15</f>
        <v>0.8666666667</v>
      </c>
      <c r="D2" s="67">
        <f>12/12</f>
        <v>1</v>
      </c>
      <c r="E2" s="68">
        <f>4/15</f>
        <v>0.2666666667</v>
      </c>
      <c r="F2" s="68">
        <f>5/7</f>
        <v>0.7142857143</v>
      </c>
      <c r="G2" s="68" t="s">
        <v>231</v>
      </c>
      <c r="H2" s="68">
        <f>2/5</f>
        <v>0.4</v>
      </c>
      <c r="I2" s="68">
        <f>5/10</f>
        <v>0.5</v>
      </c>
    </row>
    <row r="3">
      <c r="A3" s="28" t="s">
        <v>166</v>
      </c>
      <c r="B3" s="67">
        <f>34/50</f>
        <v>0.68</v>
      </c>
      <c r="C3" s="67">
        <f>7/15</f>
        <v>0.4666666667</v>
      </c>
      <c r="D3" s="67">
        <f>7/11</f>
        <v>0.6363636364</v>
      </c>
      <c r="E3" s="68">
        <f>5/10</f>
        <v>0.5</v>
      </c>
      <c r="F3" s="68">
        <f>3/7</f>
        <v>0.4285714286</v>
      </c>
      <c r="G3" s="68" t="s">
        <v>231</v>
      </c>
      <c r="H3" s="68">
        <f>1/5</f>
        <v>0.2</v>
      </c>
      <c r="I3" s="68">
        <f>1/10</f>
        <v>0.1</v>
      </c>
    </row>
    <row r="4">
      <c r="A4" s="45" t="s">
        <v>183</v>
      </c>
      <c r="B4" s="69" t="s">
        <v>110</v>
      </c>
      <c r="C4" s="69" t="s">
        <v>111</v>
      </c>
      <c r="D4" s="69" t="s">
        <v>112</v>
      </c>
      <c r="E4" s="69" t="s">
        <v>120</v>
      </c>
      <c r="F4" s="69" t="s">
        <v>114</v>
      </c>
      <c r="G4" s="69" t="s">
        <v>115</v>
      </c>
      <c r="H4" s="69" t="s">
        <v>116</v>
      </c>
      <c r="I4" s="69" t="s">
        <v>117</v>
      </c>
    </row>
    <row r="5">
      <c r="A5" s="28" t="s">
        <v>170</v>
      </c>
      <c r="B5" s="68"/>
      <c r="C5" s="68"/>
      <c r="D5" s="67">
        <f>8/10</f>
        <v>0.8</v>
      </c>
      <c r="E5" s="68">
        <f>13/48</f>
        <v>0.2708333333</v>
      </c>
      <c r="F5" s="68">
        <f>27/32</f>
        <v>0.84375</v>
      </c>
      <c r="G5" s="68">
        <f>4/10</f>
        <v>0.4</v>
      </c>
      <c r="H5" s="68">
        <f>1/9</f>
        <v>0.1111111111</v>
      </c>
      <c r="I5" s="68" t="s">
        <v>231</v>
      </c>
    </row>
    <row r="6">
      <c r="A6" s="28" t="s">
        <v>174</v>
      </c>
      <c r="B6" s="68"/>
      <c r="C6" s="68"/>
      <c r="D6" s="67">
        <f>11/15</f>
        <v>0.7333333333</v>
      </c>
      <c r="E6" s="67">
        <f>26/49</f>
        <v>0.5306122449</v>
      </c>
      <c r="F6" s="68">
        <f>29/30</f>
        <v>0.9666666667</v>
      </c>
      <c r="G6" s="68" t="s">
        <v>231</v>
      </c>
      <c r="H6" s="68">
        <f>2/9</f>
        <v>0.2222222222</v>
      </c>
      <c r="I6" s="68" t="s">
        <v>231</v>
      </c>
    </row>
    <row r="7">
      <c r="A7" s="51" t="s">
        <v>183</v>
      </c>
      <c r="B7" s="70" t="s">
        <v>110</v>
      </c>
      <c r="C7" s="70" t="s">
        <v>111</v>
      </c>
      <c r="D7" s="70" t="s">
        <v>112</v>
      </c>
      <c r="E7" s="70" t="s">
        <v>120</v>
      </c>
      <c r="F7" s="70" t="s">
        <v>114</v>
      </c>
      <c r="G7" s="70" t="s">
        <v>115</v>
      </c>
      <c r="H7" s="70" t="s">
        <v>116</v>
      </c>
      <c r="I7" s="70" t="s">
        <v>117</v>
      </c>
    </row>
    <row r="8">
      <c r="A8" s="28" t="s">
        <v>126</v>
      </c>
      <c r="B8" s="71"/>
      <c r="C8" s="71"/>
      <c r="D8" s="72"/>
      <c r="E8" s="67" t="s">
        <v>232</v>
      </c>
      <c r="F8" s="68">
        <f>31/32</f>
        <v>0.96875</v>
      </c>
      <c r="G8" s="67">
        <f>3/3</f>
        <v>1</v>
      </c>
      <c r="H8" s="67">
        <f>6/6</f>
        <v>1</v>
      </c>
      <c r="I8" s="68" t="s">
        <v>231</v>
      </c>
    </row>
    <row r="9">
      <c r="A9" s="28" t="s">
        <v>128</v>
      </c>
      <c r="B9" s="68">
        <f>40/40</f>
        <v>1</v>
      </c>
      <c r="C9" s="71"/>
      <c r="D9" s="72"/>
      <c r="E9" s="67" t="s">
        <v>233</v>
      </c>
      <c r="F9" s="68">
        <f>21/32</f>
        <v>0.65625</v>
      </c>
      <c r="G9" s="67">
        <f>5/5</f>
        <v>1</v>
      </c>
      <c r="H9" s="67">
        <f>4/4</f>
        <v>1</v>
      </c>
      <c r="I9" s="67">
        <f t="shared" ref="I9:I10" si="1">9/9</f>
        <v>1</v>
      </c>
    </row>
    <row r="10">
      <c r="A10" s="8" t="s">
        <v>130</v>
      </c>
      <c r="B10" s="73">
        <f t="shared" ref="B10:B11" si="2">25/25</f>
        <v>1</v>
      </c>
      <c r="C10" s="74">
        <f>13/13</f>
        <v>1</v>
      </c>
      <c r="D10" s="73">
        <f>9/9</f>
        <v>1</v>
      </c>
      <c r="E10" s="74">
        <f t="shared" ref="E10:E11" si="3">15/15</f>
        <v>1</v>
      </c>
      <c r="F10" s="74">
        <f>6/6</f>
        <v>1</v>
      </c>
      <c r="G10" s="75"/>
      <c r="H10" s="74">
        <f t="shared" ref="H10:H11" si="4">6/6</f>
        <v>1</v>
      </c>
      <c r="I10" s="74">
        <f t="shared" si="1"/>
        <v>1</v>
      </c>
    </row>
    <row r="11">
      <c r="A11" s="8" t="s">
        <v>132</v>
      </c>
      <c r="B11" s="73">
        <f t="shared" si="2"/>
        <v>1</v>
      </c>
      <c r="C11" s="74">
        <f>25/25</f>
        <v>1</v>
      </c>
      <c r="D11" s="73">
        <f>10/10</f>
        <v>1</v>
      </c>
      <c r="E11" s="74">
        <f t="shared" si="3"/>
        <v>1</v>
      </c>
      <c r="F11" s="74">
        <f>10/10</f>
        <v>1</v>
      </c>
      <c r="G11" s="75"/>
      <c r="H11" s="74">
        <f t="shared" si="4"/>
        <v>1</v>
      </c>
      <c r="I11" s="74">
        <f>6/6</f>
        <v>1</v>
      </c>
    </row>
    <row r="12">
      <c r="A12" s="8" t="s">
        <v>134</v>
      </c>
      <c r="B12" s="75"/>
      <c r="C12" s="75"/>
      <c r="D12" s="75"/>
      <c r="E12" s="75">
        <f>9/9</f>
        <v>1</v>
      </c>
      <c r="F12" s="75"/>
      <c r="G12" s="75"/>
      <c r="H12" s="75"/>
      <c r="I12" s="75"/>
    </row>
    <row r="13">
      <c r="A13" s="8" t="s">
        <v>136</v>
      </c>
      <c r="B13" s="76" t="s">
        <v>234</v>
      </c>
      <c r="C13" s="76" t="s">
        <v>234</v>
      </c>
      <c r="D13" s="76" t="s">
        <v>235</v>
      </c>
      <c r="E13" s="77"/>
      <c r="F13" s="76" t="s">
        <v>234</v>
      </c>
      <c r="G13" s="77"/>
      <c r="H13" s="76" t="s">
        <v>236</v>
      </c>
      <c r="I13" s="76" t="s">
        <v>232</v>
      </c>
    </row>
    <row r="14">
      <c r="A14" s="8" t="s">
        <v>137</v>
      </c>
    </row>
    <row r="15">
      <c r="A15" s="8" t="s">
        <v>140</v>
      </c>
    </row>
    <row r="18">
      <c r="A18" s="78" t="s">
        <v>237</v>
      </c>
    </row>
    <row r="19">
      <c r="A19" s="8"/>
    </row>
    <row r="20">
      <c r="A20" s="37" t="s">
        <v>144</v>
      </c>
      <c r="B20" s="38"/>
      <c r="C20" s="38"/>
      <c r="D20" s="38"/>
      <c r="E20" s="38"/>
      <c r="F20" s="39"/>
    </row>
    <row r="21">
      <c r="A21" s="37" t="s">
        <v>238</v>
      </c>
      <c r="B21" s="38"/>
      <c r="C21" s="38"/>
      <c r="D21" s="38"/>
      <c r="E21" s="38"/>
      <c r="F21" s="39"/>
    </row>
    <row r="22">
      <c r="A22" s="37" t="s">
        <v>239</v>
      </c>
      <c r="B22" s="38"/>
      <c r="C22" s="38"/>
      <c r="D22" s="38"/>
      <c r="E22" s="38"/>
      <c r="F22" s="39"/>
    </row>
    <row r="23">
      <c r="A23" s="40"/>
      <c r="B23" s="41"/>
      <c r="C23" s="41"/>
      <c r="D23" s="41"/>
      <c r="E23" s="41"/>
      <c r="F23" s="42"/>
    </row>
    <row r="24">
      <c r="A24" s="43" t="s">
        <v>0</v>
      </c>
      <c r="B24" s="2" t="s">
        <v>240</v>
      </c>
      <c r="C24" s="2" t="s">
        <v>241</v>
      </c>
      <c r="D24" s="2" t="s">
        <v>242</v>
      </c>
      <c r="E24" s="2" t="s">
        <v>243</v>
      </c>
      <c r="F24" s="6" t="s">
        <v>244</v>
      </c>
    </row>
    <row r="25">
      <c r="A25" s="28">
        <v>1.0</v>
      </c>
      <c r="B25" s="28"/>
      <c r="C25" s="28" t="s">
        <v>112</v>
      </c>
      <c r="D25" s="28">
        <v>6.0</v>
      </c>
      <c r="E25" s="28">
        <v>1.0</v>
      </c>
      <c r="F25" s="28"/>
    </row>
    <row r="26">
      <c r="A26" s="28"/>
      <c r="B26" s="28"/>
      <c r="C26" s="28"/>
      <c r="D26" s="28">
        <v>4.0</v>
      </c>
      <c r="E26" s="28">
        <v>1.0</v>
      </c>
      <c r="F26" s="28"/>
    </row>
    <row r="27">
      <c r="A27" s="28"/>
      <c r="B27" s="28"/>
      <c r="C27" s="28"/>
      <c r="D27" s="28">
        <v>10.5</v>
      </c>
      <c r="E27" s="28">
        <v>1.0</v>
      </c>
      <c r="F27" s="28"/>
    </row>
    <row r="28">
      <c r="A28" s="28"/>
      <c r="B28" s="28"/>
      <c r="C28" s="28"/>
      <c r="D28" s="28">
        <v>5.5</v>
      </c>
      <c r="E28" s="28">
        <v>1.0</v>
      </c>
      <c r="F28" s="28"/>
    </row>
    <row r="29">
      <c r="A29" s="28"/>
      <c r="B29" s="28"/>
      <c r="C29" s="28"/>
      <c r="D29" s="28">
        <v>11.5</v>
      </c>
      <c r="E29" s="28">
        <v>1.0</v>
      </c>
      <c r="F29" s="35"/>
    </row>
    <row r="30">
      <c r="A30" s="28"/>
      <c r="B30" s="28"/>
      <c r="C30" s="28"/>
      <c r="D30" s="28">
        <v>23.0</v>
      </c>
      <c r="E30" s="28">
        <v>1.0</v>
      </c>
      <c r="F30" s="35"/>
    </row>
    <row r="31">
      <c r="A31" s="35"/>
      <c r="B31" s="35"/>
      <c r="C31" s="35"/>
      <c r="D31" s="28">
        <v>8.0</v>
      </c>
      <c r="E31" s="28">
        <v>2.0</v>
      </c>
      <c r="F31" s="35"/>
    </row>
    <row r="32">
      <c r="A32" s="35"/>
      <c r="B32" s="35"/>
      <c r="C32" s="35"/>
      <c r="D32" s="28">
        <v>9.5</v>
      </c>
      <c r="E32" s="28">
        <v>1.0</v>
      </c>
      <c r="F32" s="35"/>
    </row>
    <row r="33">
      <c r="A33" s="35"/>
      <c r="B33" s="35"/>
      <c r="C33" s="35"/>
      <c r="D33" s="28">
        <v>12.0</v>
      </c>
      <c r="E33" s="28">
        <v>1.0</v>
      </c>
      <c r="F33" s="35"/>
    </row>
    <row r="34">
      <c r="A34" s="35"/>
      <c r="B34" s="35"/>
      <c r="C34" s="35"/>
      <c r="D34" s="28">
        <v>6.0</v>
      </c>
      <c r="E34" s="28">
        <v>1.0</v>
      </c>
      <c r="F34" s="35"/>
    </row>
    <row r="35">
      <c r="A35" s="35"/>
      <c r="B35" s="35"/>
      <c r="C35" s="35"/>
      <c r="D35" s="28">
        <v>10.5</v>
      </c>
      <c r="E35" s="28">
        <v>1.0</v>
      </c>
      <c r="F35" s="35"/>
    </row>
    <row r="36">
      <c r="A36" s="35"/>
      <c r="B36" s="35"/>
      <c r="C36" s="35"/>
      <c r="D36" s="28">
        <v>18.0</v>
      </c>
      <c r="E36" s="28">
        <v>1.0</v>
      </c>
      <c r="F36" s="35"/>
    </row>
    <row r="37">
      <c r="A37" s="28">
        <v>2.0</v>
      </c>
      <c r="B37" s="35"/>
      <c r="C37" s="28" t="s">
        <v>112</v>
      </c>
      <c r="D37" s="28">
        <v>3.5</v>
      </c>
      <c r="E37" s="28">
        <v>1.0</v>
      </c>
      <c r="F37" s="35"/>
    </row>
    <row r="38">
      <c r="A38" s="28"/>
      <c r="B38" s="35"/>
      <c r="C38" s="35"/>
      <c r="D38" s="28">
        <v>7.0</v>
      </c>
      <c r="E38" s="28">
        <v>1.0</v>
      </c>
      <c r="F38" s="35"/>
    </row>
    <row r="39">
      <c r="A39" s="28"/>
      <c r="B39" s="35"/>
      <c r="C39" s="35"/>
      <c r="D39" s="28">
        <v>8.0</v>
      </c>
      <c r="E39" s="28">
        <v>1.0</v>
      </c>
      <c r="F39" s="35"/>
    </row>
    <row r="40">
      <c r="A40" s="28"/>
      <c r="B40" s="35"/>
      <c r="C40" s="35"/>
      <c r="D40" s="28">
        <v>6.0</v>
      </c>
      <c r="E40" s="28">
        <v>1.0</v>
      </c>
      <c r="F40" s="35"/>
    </row>
    <row r="41">
      <c r="A41" s="28"/>
      <c r="B41" s="35"/>
      <c r="C41" s="35"/>
      <c r="D41" s="28">
        <v>9.0</v>
      </c>
      <c r="E41" s="28">
        <v>1.0</v>
      </c>
      <c r="F41" s="35"/>
    </row>
    <row r="42">
      <c r="A42" s="28"/>
      <c r="B42" s="35"/>
      <c r="C42" s="35"/>
      <c r="D42" s="28">
        <v>8.5</v>
      </c>
      <c r="E42" s="28">
        <v>1.0</v>
      </c>
      <c r="F42" s="35"/>
    </row>
    <row r="43">
      <c r="A43" s="35"/>
      <c r="B43" s="35"/>
      <c r="C43" s="35"/>
      <c r="D43" s="28">
        <v>9.0</v>
      </c>
      <c r="E43" s="28">
        <v>1.0</v>
      </c>
      <c r="F43" s="35"/>
    </row>
    <row r="44">
      <c r="A44" s="28">
        <v>3.0</v>
      </c>
      <c r="B44" s="35"/>
      <c r="C44" s="28" t="s">
        <v>112</v>
      </c>
      <c r="D44" s="28">
        <v>4.0</v>
      </c>
      <c r="E44" s="28">
        <v>1.0</v>
      </c>
      <c r="F44" s="35"/>
    </row>
    <row r="45">
      <c r="A45" s="35"/>
      <c r="B45" s="35"/>
      <c r="C45" s="35"/>
      <c r="D45" s="28">
        <v>6.0</v>
      </c>
      <c r="E45" s="28">
        <v>1.0</v>
      </c>
      <c r="F45" s="35"/>
    </row>
    <row r="46">
      <c r="A46" s="35"/>
      <c r="B46" s="35"/>
      <c r="C46" s="35"/>
      <c r="D46" s="28">
        <v>3.0</v>
      </c>
      <c r="E46" s="28">
        <v>1.0</v>
      </c>
      <c r="F46" s="35"/>
    </row>
    <row r="47">
      <c r="A47" s="35"/>
      <c r="B47" s="35"/>
      <c r="C47" s="35"/>
      <c r="D47" s="28">
        <v>2.5</v>
      </c>
      <c r="E47" s="28">
        <v>1.0</v>
      </c>
      <c r="F47" s="35"/>
    </row>
    <row r="48">
      <c r="A48" s="35"/>
      <c r="B48" s="35"/>
      <c r="C48" s="35"/>
      <c r="D48" s="28">
        <v>3.5</v>
      </c>
      <c r="E48" s="28">
        <v>1.0</v>
      </c>
      <c r="F48" s="35"/>
    </row>
    <row r="49">
      <c r="A49" s="35"/>
      <c r="B49" s="35"/>
      <c r="C49" s="35"/>
      <c r="D49" s="28">
        <v>1.5</v>
      </c>
      <c r="E49" s="28">
        <v>1.0</v>
      </c>
      <c r="F49" s="35"/>
    </row>
    <row r="50">
      <c r="A50" s="35"/>
      <c r="B50" s="35"/>
      <c r="C50" s="35"/>
      <c r="D50" s="28">
        <v>3.5</v>
      </c>
      <c r="E50" s="28">
        <v>1.0</v>
      </c>
      <c r="F50" s="35"/>
    </row>
    <row r="51">
      <c r="A51" s="35"/>
      <c r="B51" s="35"/>
      <c r="C51" s="35"/>
      <c r="D51" s="28">
        <v>3.0</v>
      </c>
      <c r="E51" s="28">
        <v>1.0</v>
      </c>
      <c r="F51" s="35"/>
    </row>
    <row r="52">
      <c r="A52" s="28">
        <v>4.0</v>
      </c>
      <c r="B52" s="35"/>
      <c r="C52" s="28" t="s">
        <v>112</v>
      </c>
      <c r="D52" s="28">
        <v>2.5</v>
      </c>
      <c r="E52" s="28">
        <v>1.0</v>
      </c>
      <c r="F52" s="35"/>
    </row>
    <row r="53">
      <c r="A53" s="35"/>
      <c r="B53" s="35"/>
      <c r="C53" s="35"/>
      <c r="D53" s="28">
        <v>5.0</v>
      </c>
      <c r="E53" s="28">
        <v>1.0</v>
      </c>
      <c r="F53" s="35"/>
    </row>
    <row r="54">
      <c r="A54" s="35"/>
      <c r="B54" s="35"/>
      <c r="C54" s="35"/>
      <c r="D54" s="28">
        <v>3.0</v>
      </c>
      <c r="E54" s="28">
        <v>1.0</v>
      </c>
      <c r="F54" s="35"/>
    </row>
    <row r="55">
      <c r="A55" s="35"/>
      <c r="B55" s="35"/>
      <c r="C55" s="35"/>
      <c r="D55" s="28">
        <v>5.0</v>
      </c>
      <c r="E55" s="28">
        <v>1.0</v>
      </c>
      <c r="F55" s="35"/>
    </row>
    <row r="56">
      <c r="A56" s="35"/>
      <c r="B56" s="35"/>
      <c r="C56" s="35"/>
      <c r="D56" s="28">
        <v>2.5</v>
      </c>
      <c r="E56" s="28">
        <v>1.0</v>
      </c>
      <c r="F56" s="35"/>
    </row>
    <row r="57">
      <c r="A57" s="35"/>
      <c r="B57" s="35"/>
      <c r="C57" s="35"/>
      <c r="D57" s="28">
        <v>3.5</v>
      </c>
      <c r="E57" s="28">
        <v>1.0</v>
      </c>
      <c r="F57" s="35"/>
    </row>
    <row r="58">
      <c r="A58" s="35"/>
      <c r="B58" s="35"/>
      <c r="C58" s="35"/>
      <c r="D58" s="28">
        <v>3.5</v>
      </c>
      <c r="E58" s="28">
        <v>1.0</v>
      </c>
      <c r="F58" s="35"/>
    </row>
    <row r="59">
      <c r="A59" s="35"/>
      <c r="B59" s="35"/>
      <c r="C59" s="35"/>
      <c r="D59" s="28">
        <v>2.0</v>
      </c>
      <c r="E59" s="28">
        <v>1.0</v>
      </c>
      <c r="F59" s="35"/>
    </row>
    <row r="60">
      <c r="A60" s="35"/>
      <c r="B60" s="35"/>
      <c r="C60" s="35"/>
      <c r="D60" s="28">
        <v>4.5</v>
      </c>
      <c r="E60" s="28">
        <v>1.0</v>
      </c>
      <c r="F60" s="35"/>
    </row>
    <row r="61">
      <c r="A61" s="35"/>
      <c r="B61" s="35"/>
      <c r="C61" s="35"/>
      <c r="D61" s="28">
        <v>3.0</v>
      </c>
      <c r="E61" s="28">
        <v>1.0</v>
      </c>
      <c r="F61" s="35"/>
    </row>
    <row r="62">
      <c r="A62" s="35"/>
      <c r="B62" s="35"/>
      <c r="C62" s="35"/>
      <c r="D62" s="28">
        <v>3.5</v>
      </c>
      <c r="E62" s="28">
        <v>1.0</v>
      </c>
      <c r="F62" s="35"/>
    </row>
    <row r="63">
      <c r="A63" s="35"/>
      <c r="B63" s="35"/>
      <c r="C63" s="35"/>
      <c r="D63" s="28">
        <v>4.0</v>
      </c>
      <c r="E63" s="28">
        <v>1.0</v>
      </c>
      <c r="F63" s="35"/>
    </row>
    <row r="64">
      <c r="A64" s="28">
        <v>7.0</v>
      </c>
      <c r="B64" s="35"/>
      <c r="C64" s="28" t="s">
        <v>112</v>
      </c>
      <c r="D64" s="28">
        <v>33.0</v>
      </c>
      <c r="E64" s="28">
        <v>1.0</v>
      </c>
      <c r="F64" s="35"/>
    </row>
    <row r="65">
      <c r="A65" s="35"/>
      <c r="B65" s="35"/>
      <c r="C65" s="35"/>
      <c r="D65" s="28">
        <v>30.5</v>
      </c>
      <c r="E65" s="28">
        <v>2.0</v>
      </c>
      <c r="F65" s="35"/>
    </row>
    <row r="66">
      <c r="A66" s="35"/>
      <c r="B66" s="35"/>
      <c r="C66" s="35"/>
      <c r="D66" s="28">
        <v>10.5</v>
      </c>
      <c r="E66" s="28">
        <v>1.0</v>
      </c>
      <c r="F66" s="35"/>
    </row>
    <row r="67">
      <c r="A67" s="35"/>
      <c r="B67" s="35"/>
      <c r="C67" s="35"/>
      <c r="D67" s="28">
        <v>25.5</v>
      </c>
      <c r="E67" s="28">
        <v>1.0</v>
      </c>
      <c r="F67" s="35"/>
    </row>
    <row r="68">
      <c r="A68" s="35"/>
      <c r="B68" s="35"/>
      <c r="C68" s="35"/>
      <c r="D68" s="28">
        <v>9.0</v>
      </c>
      <c r="E68" s="28">
        <v>1.0</v>
      </c>
      <c r="F68" s="35"/>
    </row>
    <row r="69">
      <c r="A69" s="35"/>
      <c r="B69" s="35"/>
      <c r="C69" s="35"/>
      <c r="D69" s="28">
        <v>23.0</v>
      </c>
      <c r="E69" s="28">
        <v>1.0</v>
      </c>
      <c r="F69" s="35"/>
    </row>
    <row r="70">
      <c r="A70" s="35"/>
      <c r="B70" s="35"/>
      <c r="C70" s="35"/>
      <c r="D70" s="28">
        <v>9.0</v>
      </c>
      <c r="E70" s="28">
        <v>1.0</v>
      </c>
      <c r="F70" s="35"/>
    </row>
    <row r="71">
      <c r="A71" s="35"/>
      <c r="B71" s="35"/>
      <c r="C71" s="35"/>
      <c r="D71" s="28">
        <v>15.5</v>
      </c>
      <c r="E71" s="28">
        <v>3.0</v>
      </c>
      <c r="F71" s="35"/>
    </row>
    <row r="72">
      <c r="A72" s="35"/>
      <c r="B72" s="35"/>
      <c r="C72" s="35"/>
      <c r="D72" s="28">
        <v>32.5</v>
      </c>
      <c r="E72" s="28">
        <v>1.0</v>
      </c>
      <c r="F72" s="35"/>
    </row>
    <row r="73">
      <c r="A73" s="28">
        <v>8.0</v>
      </c>
      <c r="B73" s="35"/>
      <c r="C73" s="28" t="s">
        <v>112</v>
      </c>
      <c r="D73" s="28">
        <v>33.5</v>
      </c>
      <c r="E73" s="28">
        <v>1.0</v>
      </c>
      <c r="F73" s="35"/>
    </row>
    <row r="74">
      <c r="A74" s="35"/>
      <c r="B74" s="35"/>
      <c r="C74" s="35"/>
      <c r="D74" s="28">
        <v>41.5</v>
      </c>
      <c r="E74" s="28">
        <v>1.0</v>
      </c>
      <c r="F74" s="35"/>
    </row>
    <row r="75">
      <c r="A75" s="35"/>
      <c r="B75" s="35"/>
      <c r="C75" s="35"/>
      <c r="D75" s="28">
        <v>36.0</v>
      </c>
      <c r="E75" s="28">
        <v>1.0</v>
      </c>
      <c r="F75" s="35"/>
    </row>
    <row r="76">
      <c r="A76" s="35"/>
      <c r="B76" s="35"/>
      <c r="C76" s="35"/>
      <c r="D76" s="28">
        <v>18.0</v>
      </c>
      <c r="E76" s="28">
        <v>1.0</v>
      </c>
      <c r="F76" s="35"/>
    </row>
    <row r="77">
      <c r="A77" s="35"/>
      <c r="B77" s="35"/>
      <c r="C77" s="35"/>
      <c r="D77" s="28">
        <v>37.0</v>
      </c>
      <c r="E77" s="28">
        <v>1.0</v>
      </c>
      <c r="F77" s="35"/>
    </row>
    <row r="78">
      <c r="A78" s="35"/>
      <c r="B78" s="35"/>
      <c r="C78" s="35"/>
      <c r="D78" s="28">
        <v>9.5</v>
      </c>
      <c r="E78" s="28">
        <v>1.0</v>
      </c>
      <c r="F78" s="35"/>
    </row>
    <row r="79">
      <c r="A79" s="35"/>
      <c r="B79" s="35"/>
      <c r="C79" s="35"/>
      <c r="D79" s="28">
        <v>32.5</v>
      </c>
      <c r="E79" s="28">
        <v>1.0</v>
      </c>
      <c r="F79" s="35"/>
    </row>
    <row r="80">
      <c r="A80" s="35"/>
      <c r="B80" s="35"/>
      <c r="C80" s="35"/>
      <c r="D80" s="28">
        <v>25.0</v>
      </c>
      <c r="E80" s="28">
        <v>1.0</v>
      </c>
      <c r="F80" s="35"/>
    </row>
    <row r="81">
      <c r="A81" s="35"/>
      <c r="B81" s="35"/>
      <c r="C81" s="35"/>
      <c r="D81" s="28">
        <v>28.0</v>
      </c>
      <c r="E81" s="28">
        <v>1.0</v>
      </c>
      <c r="F81" s="35"/>
    </row>
    <row r="82">
      <c r="A82" s="35"/>
      <c r="B82" s="35"/>
      <c r="C82" s="35"/>
      <c r="D82" s="28">
        <v>36.5</v>
      </c>
      <c r="E82" s="28">
        <v>1.0</v>
      </c>
      <c r="F82" s="35"/>
    </row>
    <row r="83">
      <c r="A83" s="43"/>
      <c r="B83" s="79"/>
      <c r="C83" s="79"/>
      <c r="D83" s="79"/>
      <c r="E83" s="79"/>
      <c r="F83" s="80"/>
    </row>
    <row r="84">
      <c r="A84" s="37" t="s">
        <v>144</v>
      </c>
      <c r="B84" s="38"/>
      <c r="C84" s="38"/>
      <c r="D84" s="38"/>
      <c r="E84" s="38"/>
      <c r="F84" s="39"/>
    </row>
    <row r="85">
      <c r="A85" s="37" t="s">
        <v>245</v>
      </c>
      <c r="B85" s="38"/>
      <c r="C85" s="38"/>
      <c r="D85" s="38"/>
      <c r="E85" s="38"/>
      <c r="F85" s="39"/>
    </row>
    <row r="86">
      <c r="A86" s="37" t="s">
        <v>239</v>
      </c>
      <c r="B86" s="38"/>
      <c r="C86" s="38"/>
      <c r="D86" s="38"/>
      <c r="E86" s="38"/>
      <c r="F86" s="39"/>
    </row>
    <row r="87">
      <c r="A87" s="40"/>
      <c r="B87" s="41"/>
      <c r="C87" s="41"/>
      <c r="D87" s="41"/>
      <c r="E87" s="41"/>
      <c r="F87" s="42"/>
    </row>
    <row r="88">
      <c r="A88" s="1" t="s">
        <v>0</v>
      </c>
      <c r="B88" s="2" t="s">
        <v>246</v>
      </c>
      <c r="C88" s="2" t="s">
        <v>247</v>
      </c>
      <c r="D88" s="2" t="s">
        <v>248</v>
      </c>
      <c r="E88" s="2" t="s">
        <v>249</v>
      </c>
      <c r="F88" s="6" t="s">
        <v>250</v>
      </c>
    </row>
    <row r="89">
      <c r="A89" s="28">
        <v>1.0</v>
      </c>
      <c r="B89" s="35"/>
      <c r="C89" s="28" t="s">
        <v>110</v>
      </c>
      <c r="D89" s="28">
        <v>8.0</v>
      </c>
      <c r="E89" s="28">
        <v>1.0</v>
      </c>
      <c r="F89" s="35"/>
    </row>
    <row r="90">
      <c r="A90" s="35"/>
      <c r="B90" s="35"/>
      <c r="C90" s="28"/>
      <c r="D90" s="81">
        <v>5.0</v>
      </c>
      <c r="E90" s="28">
        <v>1.0</v>
      </c>
      <c r="F90" s="35"/>
    </row>
    <row r="91">
      <c r="A91" s="35"/>
      <c r="B91" s="35"/>
      <c r="C91" s="28"/>
      <c r="D91" s="81">
        <v>11.0</v>
      </c>
      <c r="E91" s="28">
        <v>1.0</v>
      </c>
      <c r="F91" s="35"/>
    </row>
    <row r="92">
      <c r="A92" s="35"/>
      <c r="B92" s="35"/>
      <c r="C92" s="28"/>
      <c r="D92" s="81">
        <v>12.0</v>
      </c>
      <c r="E92" s="28">
        <v>1.0</v>
      </c>
      <c r="F92" s="35"/>
    </row>
    <row r="93">
      <c r="A93" s="35"/>
      <c r="B93" s="35"/>
      <c r="C93" s="28"/>
      <c r="D93" s="81">
        <v>13.5</v>
      </c>
      <c r="E93" s="28">
        <v>1.0</v>
      </c>
      <c r="F93" s="35"/>
    </row>
    <row r="94">
      <c r="A94" s="35"/>
      <c r="B94" s="35"/>
      <c r="C94" s="28"/>
      <c r="D94" s="81">
        <v>12.0</v>
      </c>
      <c r="E94" s="28">
        <v>1.0</v>
      </c>
      <c r="F94" s="35"/>
    </row>
    <row r="95">
      <c r="A95" s="35"/>
      <c r="B95" s="35"/>
      <c r="C95" s="28"/>
      <c r="D95" s="81">
        <v>8.5</v>
      </c>
      <c r="E95" s="28">
        <v>1.0</v>
      </c>
      <c r="F95" s="35"/>
    </row>
    <row r="96">
      <c r="A96" s="35"/>
      <c r="B96" s="35"/>
      <c r="C96" s="28"/>
      <c r="D96" s="81">
        <v>8.0</v>
      </c>
      <c r="E96" s="28">
        <v>2.0</v>
      </c>
      <c r="F96" s="35"/>
    </row>
    <row r="97">
      <c r="A97" s="35"/>
      <c r="B97" s="35"/>
      <c r="C97" s="28"/>
      <c r="D97" s="81">
        <v>10.0</v>
      </c>
      <c r="E97" s="28">
        <v>2.0</v>
      </c>
      <c r="F97" s="35"/>
    </row>
    <row r="98">
      <c r="A98" s="35"/>
      <c r="B98" s="35"/>
      <c r="C98" s="28"/>
      <c r="D98" s="81">
        <v>8.5</v>
      </c>
      <c r="E98" s="28">
        <v>1.0</v>
      </c>
      <c r="F98" s="35"/>
    </row>
    <row r="99">
      <c r="A99" s="35"/>
      <c r="B99" s="35"/>
      <c r="C99" s="28"/>
      <c r="D99" s="81">
        <v>12.0</v>
      </c>
      <c r="E99" s="28">
        <v>2.0</v>
      </c>
      <c r="F99" s="35"/>
    </row>
    <row r="100">
      <c r="A100" s="35"/>
      <c r="B100" s="35"/>
      <c r="C100" s="28"/>
      <c r="D100" s="81">
        <v>11.0</v>
      </c>
      <c r="E100" s="28">
        <v>1.0</v>
      </c>
      <c r="F100" s="35"/>
    </row>
    <row r="101">
      <c r="A101" s="35"/>
      <c r="B101" s="35"/>
      <c r="C101" s="28"/>
      <c r="D101" s="81">
        <v>11.0</v>
      </c>
      <c r="E101" s="28">
        <v>1.0</v>
      </c>
      <c r="F101" s="35"/>
    </row>
    <row r="102">
      <c r="A102" s="35"/>
      <c r="B102" s="35"/>
      <c r="C102" s="28"/>
      <c r="D102" s="81">
        <v>11.0</v>
      </c>
      <c r="E102" s="28">
        <v>1.0</v>
      </c>
      <c r="F102" s="35"/>
    </row>
    <row r="103">
      <c r="A103" s="35"/>
      <c r="B103" s="35"/>
      <c r="C103" s="28"/>
      <c r="D103" s="81">
        <v>8.0</v>
      </c>
      <c r="E103" s="28">
        <v>3.0</v>
      </c>
      <c r="F103" s="35"/>
    </row>
    <row r="104">
      <c r="A104" s="35"/>
      <c r="B104" s="35"/>
      <c r="C104" s="28"/>
      <c r="D104" s="81">
        <v>12.0</v>
      </c>
      <c r="E104" s="28">
        <v>1.0</v>
      </c>
      <c r="F104" s="35"/>
    </row>
    <row r="105">
      <c r="A105" s="35"/>
      <c r="B105" s="35"/>
      <c r="C105" s="28"/>
      <c r="D105" s="81">
        <v>12.0</v>
      </c>
      <c r="E105" s="28">
        <v>1.0</v>
      </c>
      <c r="F105" s="35"/>
    </row>
    <row r="106">
      <c r="A106" s="35"/>
      <c r="B106" s="35"/>
      <c r="C106" s="28"/>
      <c r="D106" s="81">
        <v>8.0</v>
      </c>
      <c r="E106" s="28">
        <v>1.0</v>
      </c>
      <c r="F106" s="35"/>
    </row>
    <row r="107">
      <c r="A107" s="35"/>
      <c r="B107" s="35"/>
      <c r="C107" s="28"/>
      <c r="D107" s="81">
        <v>9.0</v>
      </c>
      <c r="E107" s="28">
        <v>1.0</v>
      </c>
      <c r="F107" s="35"/>
    </row>
    <row r="108">
      <c r="A108" s="35"/>
      <c r="B108" s="35"/>
      <c r="C108" s="35"/>
      <c r="D108" s="28">
        <v>5.5</v>
      </c>
      <c r="E108" s="28">
        <v>3.0</v>
      </c>
      <c r="F108" s="35"/>
    </row>
    <row r="109">
      <c r="A109" s="35"/>
      <c r="B109" s="35"/>
      <c r="C109" s="35"/>
      <c r="D109" s="28">
        <v>10.0</v>
      </c>
      <c r="E109" s="28">
        <v>2.0</v>
      </c>
      <c r="F109" s="35"/>
    </row>
    <row r="110">
      <c r="A110" s="35"/>
      <c r="B110" s="35"/>
      <c r="C110" s="35"/>
      <c r="D110" s="28">
        <v>6.0</v>
      </c>
      <c r="E110" s="28">
        <v>2.0</v>
      </c>
      <c r="F110" s="35"/>
    </row>
    <row r="111">
      <c r="A111" s="35"/>
      <c r="B111" s="35"/>
      <c r="C111" s="35"/>
      <c r="D111" s="28">
        <v>10.5</v>
      </c>
      <c r="E111" s="28">
        <v>2.0</v>
      </c>
      <c r="F111" s="35"/>
    </row>
    <row r="112">
      <c r="A112" s="35"/>
      <c r="B112" s="35"/>
      <c r="C112" s="35"/>
      <c r="D112" s="28">
        <v>10.0</v>
      </c>
      <c r="E112" s="28">
        <v>1.0</v>
      </c>
      <c r="F112" s="35"/>
    </row>
    <row r="113">
      <c r="A113" s="35"/>
      <c r="B113" s="35"/>
      <c r="C113" s="35"/>
      <c r="D113" s="28">
        <v>11.5</v>
      </c>
      <c r="E113" s="28">
        <v>2.0</v>
      </c>
      <c r="F113" s="35"/>
    </row>
    <row r="114">
      <c r="A114" s="35"/>
      <c r="B114" s="35"/>
      <c r="C114" s="35"/>
      <c r="D114" s="28">
        <v>9.0</v>
      </c>
      <c r="E114" s="28">
        <v>1.0</v>
      </c>
      <c r="F114" s="35"/>
    </row>
    <row r="115">
      <c r="A115" s="35"/>
      <c r="B115" s="35"/>
      <c r="C115" s="35"/>
      <c r="D115" s="28">
        <v>7.0</v>
      </c>
      <c r="E115" s="28">
        <v>2.0</v>
      </c>
      <c r="F115" s="35"/>
    </row>
    <row r="116">
      <c r="A116" s="35"/>
      <c r="B116" s="35"/>
      <c r="C116" s="35"/>
      <c r="D116" s="28">
        <v>8.5</v>
      </c>
      <c r="E116" s="28">
        <v>1.0</v>
      </c>
      <c r="F116" s="35"/>
    </row>
    <row r="117">
      <c r="A117" s="35"/>
      <c r="B117" s="35"/>
      <c r="C117" s="35"/>
      <c r="D117" s="28">
        <v>11.5</v>
      </c>
      <c r="E117" s="28">
        <v>1.0</v>
      </c>
      <c r="F117" s="35"/>
    </row>
    <row r="118">
      <c r="A118" s="35"/>
      <c r="B118" s="35"/>
      <c r="C118" s="35"/>
      <c r="D118" s="28">
        <v>11.5</v>
      </c>
      <c r="E118" s="28">
        <v>2.0</v>
      </c>
      <c r="F118" s="35"/>
    </row>
    <row r="119">
      <c r="A119" s="35"/>
      <c r="B119" s="35"/>
      <c r="C119" s="35"/>
      <c r="D119" s="28">
        <v>9.0</v>
      </c>
      <c r="E119" s="28">
        <v>1.0</v>
      </c>
      <c r="F119" s="35"/>
    </row>
    <row r="120">
      <c r="A120" s="35"/>
      <c r="B120" s="35"/>
      <c r="C120" s="35"/>
      <c r="D120" s="28">
        <v>11.0</v>
      </c>
      <c r="E120" s="28">
        <v>1.0</v>
      </c>
      <c r="F120" s="35"/>
    </row>
    <row r="121">
      <c r="A121" s="35"/>
      <c r="B121" s="35"/>
      <c r="C121" s="35"/>
      <c r="D121" s="28">
        <v>9.0</v>
      </c>
      <c r="E121" s="28">
        <v>1.0</v>
      </c>
      <c r="F121" s="35"/>
    </row>
    <row r="122">
      <c r="A122" s="35"/>
      <c r="B122" s="35"/>
      <c r="C122" s="35"/>
      <c r="D122" s="28">
        <v>9.0</v>
      </c>
      <c r="E122" s="28">
        <v>1.0</v>
      </c>
      <c r="F122" s="35"/>
    </row>
    <row r="123">
      <c r="A123" s="35"/>
      <c r="B123" s="35"/>
      <c r="C123" s="35"/>
      <c r="D123" s="28">
        <v>17.0</v>
      </c>
      <c r="E123" s="28">
        <v>3.0</v>
      </c>
      <c r="F123" s="35"/>
    </row>
    <row r="124">
      <c r="A124" s="28">
        <v>2.0</v>
      </c>
      <c r="B124" s="35"/>
      <c r="C124" s="28" t="s">
        <v>110</v>
      </c>
      <c r="D124" s="35"/>
      <c r="E124" s="35"/>
      <c r="F124" s="35"/>
    </row>
    <row r="125">
      <c r="A125" s="35"/>
      <c r="B125" s="35"/>
      <c r="C125" s="35"/>
      <c r="D125" s="35"/>
      <c r="E125" s="35"/>
      <c r="F125" s="35"/>
    </row>
    <row r="126">
      <c r="A126" s="35"/>
      <c r="B126" s="35"/>
      <c r="C126" s="35"/>
      <c r="D126" s="35"/>
      <c r="E126" s="35"/>
      <c r="F126" s="35"/>
    </row>
    <row r="127">
      <c r="A127" s="35"/>
      <c r="B127" s="35"/>
      <c r="C127" s="35"/>
      <c r="D127" s="35"/>
      <c r="E127" s="35"/>
      <c r="F127" s="35"/>
    </row>
    <row r="128">
      <c r="A128" s="35"/>
      <c r="B128" s="35"/>
      <c r="C128" s="35"/>
      <c r="D128" s="35"/>
      <c r="E128" s="35"/>
      <c r="F128" s="35"/>
    </row>
    <row r="129">
      <c r="A129" s="35"/>
      <c r="B129" s="35"/>
      <c r="C129" s="35"/>
      <c r="D129" s="35"/>
      <c r="E129" s="35"/>
      <c r="F129" s="35"/>
    </row>
    <row r="130">
      <c r="A130" s="35"/>
      <c r="B130" s="35"/>
      <c r="C130" s="35"/>
      <c r="D130" s="35"/>
      <c r="E130" s="35"/>
      <c r="F130" s="35"/>
    </row>
    <row r="131">
      <c r="A131" s="35"/>
      <c r="B131" s="35"/>
      <c r="C131" s="35"/>
      <c r="D131" s="35"/>
      <c r="E131" s="35"/>
      <c r="F131" s="35"/>
    </row>
    <row r="132">
      <c r="A132" s="35"/>
      <c r="B132" s="35"/>
      <c r="C132" s="35"/>
      <c r="D132" s="35"/>
      <c r="E132" s="35"/>
      <c r="F132" s="35"/>
    </row>
    <row r="133">
      <c r="A133" s="35"/>
      <c r="B133" s="35"/>
      <c r="C133" s="35"/>
      <c r="D133" s="35"/>
      <c r="E133" s="35"/>
      <c r="F133" s="35"/>
    </row>
    <row r="134">
      <c r="A134" s="35"/>
      <c r="B134" s="35"/>
      <c r="C134" s="35"/>
      <c r="D134" s="35"/>
      <c r="E134" s="35"/>
      <c r="F134" s="35"/>
    </row>
    <row r="135">
      <c r="A135" s="35"/>
      <c r="B135" s="35"/>
      <c r="C135" s="35"/>
      <c r="D135" s="35"/>
      <c r="E135" s="35"/>
      <c r="F135" s="35"/>
    </row>
    <row r="136">
      <c r="A136" s="35"/>
      <c r="B136" s="35"/>
      <c r="C136" s="35"/>
      <c r="D136" s="35"/>
      <c r="E136" s="35"/>
      <c r="F136" s="35"/>
    </row>
    <row r="137">
      <c r="A137" s="35"/>
      <c r="B137" s="35"/>
      <c r="C137" s="35"/>
      <c r="D137" s="35"/>
      <c r="E137" s="35"/>
      <c r="F137" s="35"/>
    </row>
  </sheetData>
  <mergeCells count="8">
    <mergeCell ref="A20:F20"/>
    <mergeCell ref="A21:F21"/>
    <mergeCell ref="A22:F22"/>
    <mergeCell ref="A23:F23"/>
    <mergeCell ref="A84:F84"/>
    <mergeCell ref="A85:F85"/>
    <mergeCell ref="A86:F86"/>
    <mergeCell ref="A87:F8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144</v>
      </c>
    </row>
    <row r="2">
      <c r="A2" s="37" t="s">
        <v>238</v>
      </c>
      <c r="B2" s="38"/>
      <c r="C2" s="38"/>
      <c r="D2" s="38"/>
      <c r="E2" s="38"/>
      <c r="F2" s="39"/>
    </row>
    <row r="3">
      <c r="A3" s="37" t="s">
        <v>239</v>
      </c>
      <c r="B3" s="38"/>
      <c r="C3" s="38"/>
      <c r="D3" s="38"/>
      <c r="E3" s="38"/>
      <c r="F3" s="39"/>
    </row>
    <row r="4">
      <c r="A4" s="40"/>
      <c r="B4" s="41"/>
      <c r="C4" s="41"/>
      <c r="D4" s="41"/>
      <c r="E4" s="41"/>
      <c r="F4" s="42"/>
    </row>
    <row r="5">
      <c r="A5" s="43" t="s">
        <v>0</v>
      </c>
      <c r="B5" s="2" t="s">
        <v>251</v>
      </c>
      <c r="C5" s="2" t="s">
        <v>252</v>
      </c>
      <c r="D5" s="2" t="s">
        <v>253</v>
      </c>
      <c r="E5" s="2" t="s">
        <v>254</v>
      </c>
      <c r="F5" s="6" t="s">
        <v>255</v>
      </c>
    </row>
    <row r="6">
      <c r="A6" s="28">
        <v>1.0</v>
      </c>
      <c r="B6" s="28">
        <v>12.0</v>
      </c>
      <c r="C6" s="28">
        <v>1.0</v>
      </c>
      <c r="D6" s="28">
        <v>6.0</v>
      </c>
      <c r="E6" s="28">
        <v>1.0</v>
      </c>
      <c r="F6" s="28"/>
    </row>
    <row r="7">
      <c r="A7" s="28"/>
      <c r="B7" s="28"/>
      <c r="C7" s="28">
        <v>2.0</v>
      </c>
      <c r="D7" s="28">
        <v>4.0</v>
      </c>
      <c r="E7" s="28">
        <v>1.0</v>
      </c>
      <c r="F7" s="28"/>
    </row>
    <row r="8">
      <c r="A8" s="28"/>
      <c r="B8" s="28"/>
      <c r="C8" s="28">
        <v>3.0</v>
      </c>
      <c r="D8" s="28">
        <v>10.5</v>
      </c>
      <c r="E8" s="28">
        <v>1.0</v>
      </c>
      <c r="F8" s="28"/>
    </row>
    <row r="9">
      <c r="A9" s="28"/>
      <c r="B9" s="28"/>
      <c r="C9" s="28">
        <v>4.0</v>
      </c>
      <c r="D9" s="28">
        <v>5.5</v>
      </c>
      <c r="E9" s="28">
        <v>1.0</v>
      </c>
      <c r="F9" s="28"/>
    </row>
    <row r="10">
      <c r="A10" s="28"/>
      <c r="B10" s="28"/>
      <c r="C10" s="28">
        <v>5.0</v>
      </c>
      <c r="D10" s="28">
        <v>1.5</v>
      </c>
      <c r="E10" s="28">
        <v>1.0</v>
      </c>
      <c r="F10" s="35"/>
    </row>
    <row r="11">
      <c r="A11" s="28"/>
      <c r="B11" s="28"/>
      <c r="C11" s="28">
        <v>6.0</v>
      </c>
      <c r="D11" s="28">
        <v>2.3</v>
      </c>
      <c r="E11" s="28">
        <v>1.0</v>
      </c>
      <c r="F11" s="35"/>
    </row>
    <row r="12">
      <c r="A12" s="35"/>
      <c r="B12" s="35"/>
      <c r="C12" s="28">
        <v>7.0</v>
      </c>
      <c r="D12" s="28">
        <v>8.0</v>
      </c>
      <c r="E12" s="28">
        <v>2.0</v>
      </c>
      <c r="F12" s="35"/>
    </row>
    <row r="13">
      <c r="A13" s="35"/>
      <c r="B13" s="35"/>
      <c r="C13" s="28">
        <v>8.0</v>
      </c>
      <c r="D13" s="28">
        <v>9.5</v>
      </c>
      <c r="E13" s="28">
        <v>1.0</v>
      </c>
      <c r="F13" s="35"/>
    </row>
    <row r="14">
      <c r="A14" s="35"/>
      <c r="B14" s="35"/>
      <c r="C14" s="28">
        <v>9.0</v>
      </c>
      <c r="D14" s="28">
        <v>12.0</v>
      </c>
      <c r="E14" s="28">
        <v>1.0</v>
      </c>
      <c r="F14" s="35"/>
    </row>
    <row r="15">
      <c r="A15" s="35"/>
      <c r="B15" s="35"/>
      <c r="C15" s="28">
        <v>10.0</v>
      </c>
      <c r="D15" s="28">
        <v>6.0</v>
      </c>
      <c r="E15" s="28">
        <v>1.0</v>
      </c>
      <c r="F15" s="35"/>
    </row>
    <row r="16">
      <c r="A16" s="35"/>
      <c r="B16" s="35"/>
      <c r="C16" s="28">
        <v>11.0</v>
      </c>
      <c r="D16" s="28">
        <v>10.5</v>
      </c>
      <c r="E16" s="28">
        <v>1.0</v>
      </c>
      <c r="F16" s="35"/>
    </row>
    <row r="17">
      <c r="A17" s="35"/>
      <c r="B17" s="35"/>
      <c r="C17" s="28">
        <v>12.0</v>
      </c>
      <c r="D17" s="28">
        <v>18.0</v>
      </c>
      <c r="E17" s="28">
        <v>1.0</v>
      </c>
      <c r="F17" s="35"/>
    </row>
    <row r="18">
      <c r="A18" s="28">
        <v>2.0</v>
      </c>
      <c r="B18" s="28">
        <v>11.0</v>
      </c>
      <c r="C18" s="28">
        <v>1.0</v>
      </c>
      <c r="D18" s="28">
        <v>3.5</v>
      </c>
      <c r="E18" s="28">
        <v>1.0</v>
      </c>
      <c r="F18" s="35"/>
    </row>
    <row r="19">
      <c r="A19" s="35"/>
      <c r="B19" s="35"/>
      <c r="C19" s="28">
        <v>2.0</v>
      </c>
      <c r="D19" s="28">
        <v>7.0</v>
      </c>
      <c r="E19" s="28">
        <v>1.0</v>
      </c>
      <c r="F19" s="35"/>
    </row>
    <row r="20">
      <c r="A20" s="35"/>
      <c r="B20" s="35"/>
      <c r="C20" s="28">
        <v>3.0</v>
      </c>
      <c r="D20" s="28">
        <v>8.0</v>
      </c>
      <c r="E20" s="28">
        <v>1.0</v>
      </c>
      <c r="F20" s="35"/>
    </row>
    <row r="21">
      <c r="A21" s="35"/>
      <c r="B21" s="35"/>
      <c r="C21" s="28">
        <v>4.0</v>
      </c>
      <c r="D21" s="28">
        <v>9.0</v>
      </c>
      <c r="E21" s="28">
        <v>1.0</v>
      </c>
      <c r="F21" s="35"/>
    </row>
    <row r="22">
      <c r="A22" s="35"/>
      <c r="B22" s="35"/>
      <c r="C22" s="28">
        <v>5.0</v>
      </c>
      <c r="D22" s="28">
        <v>6.0</v>
      </c>
      <c r="E22" s="28">
        <v>1.0</v>
      </c>
      <c r="F22" s="35"/>
    </row>
    <row r="23">
      <c r="A23" s="35"/>
      <c r="B23" s="35"/>
      <c r="C23" s="28">
        <v>6.0</v>
      </c>
      <c r="D23" s="28">
        <v>9.0</v>
      </c>
      <c r="E23" s="28">
        <v>1.0</v>
      </c>
      <c r="F23" s="35"/>
    </row>
    <row r="24">
      <c r="A24" s="35"/>
      <c r="B24" s="35"/>
      <c r="C24" s="28">
        <v>7.0</v>
      </c>
      <c r="D24" s="28">
        <v>8.5</v>
      </c>
      <c r="E24" s="28">
        <v>1.0</v>
      </c>
      <c r="F24" s="35"/>
    </row>
    <row r="25">
      <c r="A25" s="28">
        <v>7.0</v>
      </c>
      <c r="B25" s="28">
        <v>9.0</v>
      </c>
      <c r="C25" s="28">
        <v>1.0</v>
      </c>
      <c r="D25" s="28">
        <v>33.0</v>
      </c>
      <c r="E25" s="28">
        <v>1.0</v>
      </c>
      <c r="F25" s="35"/>
    </row>
    <row r="26">
      <c r="A26" s="35"/>
      <c r="B26" s="35"/>
      <c r="C26" s="28">
        <v>2.0</v>
      </c>
      <c r="D26" s="28">
        <v>30.5</v>
      </c>
      <c r="E26" s="28">
        <v>2.0</v>
      </c>
      <c r="F26" s="35"/>
    </row>
    <row r="27">
      <c r="A27" s="35"/>
      <c r="B27" s="35"/>
      <c r="C27" s="28">
        <v>3.0</v>
      </c>
      <c r="D27" s="28">
        <v>10.5</v>
      </c>
      <c r="E27" s="28">
        <v>1.0</v>
      </c>
      <c r="F27" s="35"/>
    </row>
    <row r="28">
      <c r="A28" s="35"/>
      <c r="B28" s="35"/>
      <c r="C28" s="28">
        <v>4.0</v>
      </c>
      <c r="D28" s="28">
        <v>25.5</v>
      </c>
      <c r="E28" s="28">
        <v>1.0</v>
      </c>
      <c r="F28" s="35"/>
    </row>
    <row r="29">
      <c r="A29" s="35"/>
      <c r="B29" s="35"/>
      <c r="C29" s="28">
        <v>5.0</v>
      </c>
      <c r="D29" s="28">
        <v>9.0</v>
      </c>
      <c r="E29" s="28">
        <v>1.0</v>
      </c>
      <c r="F29" s="35"/>
    </row>
    <row r="30">
      <c r="A30" s="35"/>
      <c r="B30" s="35"/>
      <c r="C30" s="28">
        <v>6.0</v>
      </c>
      <c r="D30" s="28">
        <v>23.0</v>
      </c>
      <c r="E30" s="28">
        <v>1.0</v>
      </c>
      <c r="F30" s="35"/>
    </row>
    <row r="31">
      <c r="A31" s="35"/>
      <c r="B31" s="35"/>
      <c r="C31" s="28">
        <v>7.0</v>
      </c>
      <c r="D31" s="28">
        <v>9.0</v>
      </c>
      <c r="E31" s="28">
        <v>1.0</v>
      </c>
      <c r="F31" s="35"/>
    </row>
    <row r="32">
      <c r="A32" s="35"/>
      <c r="B32" s="35"/>
      <c r="C32" s="28">
        <v>8.0</v>
      </c>
      <c r="D32" s="28">
        <v>15.5</v>
      </c>
      <c r="E32" s="28">
        <v>3.0</v>
      </c>
      <c r="F32" s="35"/>
    </row>
    <row r="33">
      <c r="A33" s="35"/>
      <c r="B33" s="35"/>
      <c r="C33" s="28">
        <v>9.0</v>
      </c>
      <c r="D33" s="28">
        <v>32.5</v>
      </c>
      <c r="E33" s="28">
        <v>1.0</v>
      </c>
      <c r="F33" s="35"/>
    </row>
    <row r="34">
      <c r="A34" s="28">
        <v>8.0</v>
      </c>
      <c r="B34" s="28">
        <v>10.0</v>
      </c>
      <c r="C34" s="28">
        <v>1.0</v>
      </c>
      <c r="D34" s="28">
        <v>33.5</v>
      </c>
      <c r="E34" s="28">
        <v>1.0</v>
      </c>
      <c r="F34" s="35"/>
    </row>
    <row r="35">
      <c r="A35" s="35"/>
      <c r="B35" s="35"/>
      <c r="C35" s="28">
        <v>2.0</v>
      </c>
      <c r="D35" s="28">
        <v>41.5</v>
      </c>
      <c r="E35" s="28">
        <v>1.0</v>
      </c>
      <c r="F35" s="35"/>
    </row>
    <row r="36">
      <c r="A36" s="35"/>
      <c r="B36" s="35"/>
      <c r="C36" s="28">
        <v>3.0</v>
      </c>
      <c r="D36" s="28">
        <v>36.0</v>
      </c>
      <c r="E36" s="28">
        <v>1.0</v>
      </c>
      <c r="F36" s="35"/>
    </row>
    <row r="37">
      <c r="A37" s="35"/>
      <c r="B37" s="35"/>
      <c r="C37" s="28">
        <v>4.0</v>
      </c>
      <c r="D37" s="28">
        <v>18.0</v>
      </c>
      <c r="E37" s="28">
        <v>1.0</v>
      </c>
      <c r="F37" s="35"/>
    </row>
    <row r="38">
      <c r="A38" s="35"/>
      <c r="B38" s="35"/>
      <c r="C38" s="28">
        <v>5.0</v>
      </c>
      <c r="D38" s="28">
        <v>37.0</v>
      </c>
      <c r="E38" s="28">
        <v>1.0</v>
      </c>
      <c r="F38" s="35"/>
    </row>
    <row r="39">
      <c r="A39" s="35"/>
      <c r="B39" s="35"/>
      <c r="C39" s="28">
        <v>6.0</v>
      </c>
      <c r="D39" s="28">
        <v>9.5</v>
      </c>
      <c r="E39" s="28">
        <v>1.0</v>
      </c>
      <c r="F39" s="35"/>
    </row>
    <row r="40">
      <c r="A40" s="35"/>
      <c r="B40" s="35"/>
      <c r="C40" s="28">
        <v>7.0</v>
      </c>
      <c r="D40" s="28">
        <v>32.5</v>
      </c>
      <c r="E40" s="28">
        <v>1.0</v>
      </c>
      <c r="F40" s="35"/>
    </row>
    <row r="41">
      <c r="A41" s="35"/>
      <c r="B41" s="35"/>
      <c r="C41" s="28">
        <v>8.0</v>
      </c>
      <c r="D41" s="28">
        <v>25.0</v>
      </c>
      <c r="E41" s="28">
        <v>1.0</v>
      </c>
      <c r="F41" s="35"/>
    </row>
    <row r="42">
      <c r="A42" s="35"/>
      <c r="B42" s="35"/>
      <c r="C42" s="28">
        <v>9.0</v>
      </c>
      <c r="D42" s="28">
        <v>28.0</v>
      </c>
      <c r="E42" s="28">
        <v>1.0</v>
      </c>
      <c r="F42" s="35"/>
    </row>
    <row r="43">
      <c r="A43" s="35"/>
      <c r="B43" s="35"/>
      <c r="C43" s="28">
        <v>10.0</v>
      </c>
      <c r="D43" s="28">
        <v>36.5</v>
      </c>
      <c r="E43" s="28">
        <v>1.0</v>
      </c>
      <c r="F43" s="35"/>
    </row>
    <row r="44">
      <c r="A44" s="28">
        <v>4.0</v>
      </c>
      <c r="B44" s="28">
        <v>15.0</v>
      </c>
      <c r="C44" s="28">
        <v>1.0</v>
      </c>
      <c r="D44" s="28">
        <v>2.5</v>
      </c>
      <c r="E44" s="28">
        <v>1.0</v>
      </c>
      <c r="F44" s="35"/>
    </row>
    <row r="45">
      <c r="A45" s="35"/>
      <c r="B45" s="35"/>
      <c r="C45" s="28">
        <v>2.0</v>
      </c>
      <c r="D45" s="28">
        <v>5.0</v>
      </c>
      <c r="E45" s="28">
        <v>1.0</v>
      </c>
      <c r="F45" s="35"/>
    </row>
    <row r="46">
      <c r="A46" s="35"/>
      <c r="B46" s="35"/>
      <c r="C46" s="28">
        <v>3.0</v>
      </c>
      <c r="D46" s="28">
        <v>3.0</v>
      </c>
      <c r="E46" s="28">
        <v>1.0</v>
      </c>
      <c r="F46" s="35"/>
    </row>
    <row r="47">
      <c r="A47" s="35"/>
      <c r="B47" s="35"/>
      <c r="C47" s="28">
        <v>4.0</v>
      </c>
      <c r="D47" s="28">
        <v>5.0</v>
      </c>
      <c r="E47" s="28">
        <v>1.0</v>
      </c>
      <c r="F47" s="35"/>
    </row>
    <row r="48">
      <c r="A48" s="35"/>
      <c r="B48" s="35"/>
      <c r="C48" s="28">
        <v>5.0</v>
      </c>
      <c r="D48" s="28">
        <v>2.5</v>
      </c>
      <c r="E48" s="28">
        <v>1.0</v>
      </c>
      <c r="F48" s="35"/>
    </row>
    <row r="49">
      <c r="A49" s="35"/>
      <c r="B49" s="35"/>
      <c r="C49" s="28">
        <v>6.0</v>
      </c>
      <c r="D49" s="28">
        <v>3.5</v>
      </c>
      <c r="E49" s="28">
        <v>1.0</v>
      </c>
      <c r="F49" s="35"/>
    </row>
    <row r="50">
      <c r="A50" s="35"/>
      <c r="B50" s="35"/>
      <c r="C50" s="28">
        <v>7.0</v>
      </c>
      <c r="D50" s="28">
        <v>3.5</v>
      </c>
      <c r="E50" s="28">
        <v>1.0</v>
      </c>
      <c r="F50" s="35"/>
    </row>
    <row r="51">
      <c r="A51" s="35"/>
      <c r="B51" s="35"/>
      <c r="C51" s="28">
        <v>8.0</v>
      </c>
      <c r="D51" s="28">
        <v>2.0</v>
      </c>
      <c r="E51" s="28">
        <v>1.0</v>
      </c>
      <c r="F51" s="35"/>
    </row>
    <row r="52">
      <c r="A52" s="35"/>
      <c r="B52" s="35"/>
      <c r="C52" s="28">
        <v>9.0</v>
      </c>
      <c r="D52" s="28">
        <v>4.5</v>
      </c>
      <c r="E52" s="28">
        <v>1.0</v>
      </c>
      <c r="F52" s="35"/>
    </row>
    <row r="53">
      <c r="A53" s="35"/>
      <c r="B53" s="35"/>
      <c r="C53" s="28">
        <v>10.0</v>
      </c>
      <c r="D53" s="28">
        <v>3.0</v>
      </c>
      <c r="E53" s="28">
        <v>1.0</v>
      </c>
      <c r="F53" s="35"/>
    </row>
    <row r="54">
      <c r="A54" s="35"/>
      <c r="B54" s="35"/>
      <c r="C54" s="28">
        <v>11.0</v>
      </c>
      <c r="D54" s="28">
        <v>3.5</v>
      </c>
      <c r="E54" s="28">
        <v>1.0</v>
      </c>
      <c r="F54" s="35"/>
    </row>
    <row r="55">
      <c r="A55" s="35"/>
      <c r="B55" s="35"/>
      <c r="C55" s="28">
        <v>12.0</v>
      </c>
      <c r="D55" s="28">
        <v>4.0</v>
      </c>
      <c r="E55" s="28">
        <v>1.0</v>
      </c>
      <c r="F55" s="35"/>
    </row>
    <row r="56">
      <c r="A56" s="28">
        <v>3.0</v>
      </c>
      <c r="B56" s="28">
        <v>10.0</v>
      </c>
      <c r="C56" s="28">
        <v>1.0</v>
      </c>
      <c r="D56" s="28">
        <v>4.0</v>
      </c>
      <c r="E56" s="28">
        <v>1.0</v>
      </c>
      <c r="F56" s="35"/>
    </row>
    <row r="57">
      <c r="A57" s="35"/>
      <c r="B57" s="35"/>
      <c r="C57" s="28">
        <v>2.0</v>
      </c>
      <c r="D57" s="28">
        <v>6.0</v>
      </c>
      <c r="E57" s="28">
        <v>1.0</v>
      </c>
      <c r="F57" s="35"/>
    </row>
    <row r="58">
      <c r="A58" s="35"/>
      <c r="B58" s="35"/>
      <c r="C58" s="28">
        <v>3.0</v>
      </c>
      <c r="D58" s="28">
        <v>3.0</v>
      </c>
      <c r="E58" s="28">
        <v>1.0</v>
      </c>
      <c r="F58" s="35"/>
    </row>
    <row r="59">
      <c r="A59" s="35"/>
      <c r="B59" s="35"/>
      <c r="C59" s="28">
        <v>4.0</v>
      </c>
      <c r="D59" s="28">
        <v>2.5</v>
      </c>
      <c r="E59" s="28">
        <v>1.0</v>
      </c>
      <c r="F59" s="35"/>
    </row>
    <row r="60">
      <c r="A60" s="35"/>
      <c r="B60" s="35"/>
      <c r="C60" s="28">
        <v>5.0</v>
      </c>
      <c r="D60" s="28">
        <v>3.5</v>
      </c>
      <c r="E60" s="28">
        <v>1.0</v>
      </c>
      <c r="F60" s="35"/>
    </row>
    <row r="61">
      <c r="A61" s="35"/>
      <c r="B61" s="35"/>
      <c r="C61" s="28">
        <v>6.0</v>
      </c>
      <c r="D61" s="28">
        <v>1.5</v>
      </c>
      <c r="E61" s="28">
        <v>1.0</v>
      </c>
      <c r="F61" s="35"/>
    </row>
    <row r="62">
      <c r="A62" s="35"/>
      <c r="B62" s="35"/>
      <c r="C62" s="28">
        <v>7.0</v>
      </c>
      <c r="D62" s="28">
        <v>3.5</v>
      </c>
      <c r="E62" s="28">
        <v>1.0</v>
      </c>
      <c r="F62" s="35"/>
    </row>
    <row r="63">
      <c r="A63" s="35"/>
      <c r="B63" s="35"/>
      <c r="C63" s="28">
        <v>8.0</v>
      </c>
      <c r="D63" s="28">
        <v>3.0</v>
      </c>
      <c r="E63" s="28">
        <v>1.0</v>
      </c>
      <c r="F63" s="35"/>
    </row>
    <row r="64">
      <c r="A64" s="36" t="s">
        <v>144</v>
      </c>
    </row>
    <row r="65">
      <c r="A65" s="37" t="s">
        <v>256</v>
      </c>
      <c r="B65" s="38"/>
      <c r="C65" s="38"/>
      <c r="D65" s="38"/>
      <c r="E65" s="38"/>
      <c r="F65" s="39"/>
    </row>
    <row r="66">
      <c r="A66" s="37" t="s">
        <v>257</v>
      </c>
      <c r="B66" s="38"/>
      <c r="C66" s="38"/>
      <c r="D66" s="38"/>
      <c r="E66" s="38"/>
      <c r="F66" s="39"/>
    </row>
    <row r="67">
      <c r="A67" s="40"/>
      <c r="B67" s="41"/>
      <c r="C67" s="41"/>
      <c r="D67" s="41"/>
      <c r="E67" s="41"/>
      <c r="F67" s="42"/>
    </row>
    <row r="68">
      <c r="A68" s="43" t="s">
        <v>0</v>
      </c>
      <c r="B68" s="2" t="s">
        <v>258</v>
      </c>
      <c r="C68" s="2" t="s">
        <v>259</v>
      </c>
      <c r="D68" s="2" t="s">
        <v>260</v>
      </c>
      <c r="E68" s="2" t="s">
        <v>261</v>
      </c>
      <c r="F68" s="6" t="s">
        <v>262</v>
      </c>
    </row>
    <row r="69">
      <c r="A69" s="28">
        <v>1.0</v>
      </c>
      <c r="B69" s="28">
        <v>50.0</v>
      </c>
      <c r="C69" s="28">
        <v>1.0</v>
      </c>
      <c r="D69" s="28">
        <v>8.0</v>
      </c>
      <c r="E69" s="28">
        <v>1.0</v>
      </c>
      <c r="F69" s="28"/>
    </row>
    <row r="70">
      <c r="A70" s="28"/>
      <c r="B70" s="28"/>
      <c r="C70" s="28">
        <v>2.0</v>
      </c>
      <c r="D70" s="28">
        <v>5.0</v>
      </c>
      <c r="E70" s="28">
        <v>1.0</v>
      </c>
      <c r="F70" s="28"/>
    </row>
    <row r="71">
      <c r="A71" s="28"/>
      <c r="B71" s="28"/>
      <c r="C71" s="28">
        <v>3.0</v>
      </c>
      <c r="D71" s="28">
        <v>11.0</v>
      </c>
      <c r="E71" s="28">
        <v>1.0</v>
      </c>
      <c r="F71" s="28"/>
    </row>
    <row r="72">
      <c r="A72" s="28"/>
      <c r="B72" s="28"/>
      <c r="C72" s="28">
        <v>4.0</v>
      </c>
      <c r="D72" s="28">
        <v>12.0</v>
      </c>
      <c r="E72" s="28">
        <v>1.0</v>
      </c>
      <c r="F72" s="28"/>
    </row>
    <row r="73">
      <c r="A73" s="28"/>
      <c r="B73" s="28"/>
      <c r="C73" s="28">
        <v>5.0</v>
      </c>
      <c r="D73" s="28">
        <v>13.5</v>
      </c>
      <c r="E73" s="28">
        <v>1.0</v>
      </c>
      <c r="F73" s="35"/>
    </row>
    <row r="74">
      <c r="A74" s="28"/>
      <c r="B74" s="28"/>
      <c r="C74" s="28">
        <v>6.0</v>
      </c>
      <c r="D74" s="28">
        <v>12.0</v>
      </c>
      <c r="E74" s="28">
        <v>1.0</v>
      </c>
      <c r="F74" s="35"/>
    </row>
    <row r="75">
      <c r="A75" s="35"/>
      <c r="B75" s="35"/>
      <c r="C75" s="28">
        <v>7.0</v>
      </c>
      <c r="D75" s="28">
        <v>8.5</v>
      </c>
      <c r="E75" s="28">
        <v>1.0</v>
      </c>
      <c r="F75" s="35"/>
    </row>
    <row r="76">
      <c r="A76" s="35"/>
      <c r="B76" s="35"/>
      <c r="C76" s="28">
        <v>8.0</v>
      </c>
      <c r="D76" s="28">
        <v>8.0</v>
      </c>
      <c r="E76" s="28">
        <v>2.0</v>
      </c>
      <c r="F76" s="35"/>
    </row>
    <row r="77">
      <c r="A77" s="35"/>
      <c r="B77" s="35"/>
      <c r="C77" s="28">
        <v>9.0</v>
      </c>
      <c r="D77" s="28">
        <v>10.0</v>
      </c>
      <c r="E77" s="28">
        <v>2.0</v>
      </c>
      <c r="F77" s="35"/>
    </row>
    <row r="78">
      <c r="A78" s="35"/>
      <c r="B78" s="35"/>
      <c r="C78" s="28">
        <v>10.0</v>
      </c>
      <c r="D78" s="28">
        <v>8.5</v>
      </c>
      <c r="E78" s="28">
        <v>1.0</v>
      </c>
      <c r="F78" s="35"/>
    </row>
    <row r="79">
      <c r="A79" s="35"/>
      <c r="B79" s="35"/>
      <c r="C79" s="28">
        <v>11.0</v>
      </c>
      <c r="D79" s="28">
        <v>12.0</v>
      </c>
      <c r="E79" s="28">
        <v>2.0</v>
      </c>
      <c r="F79" s="35"/>
    </row>
    <row r="80">
      <c r="A80" s="35"/>
      <c r="B80" s="35"/>
      <c r="C80" s="28">
        <v>12.0</v>
      </c>
      <c r="D80" s="28">
        <v>11.0</v>
      </c>
      <c r="E80" s="28">
        <v>1.0</v>
      </c>
      <c r="F80" s="35"/>
    </row>
    <row r="81">
      <c r="A81" s="35"/>
      <c r="B81" s="35"/>
      <c r="C81" s="28">
        <v>13.0</v>
      </c>
      <c r="D81" s="28">
        <v>11.0</v>
      </c>
      <c r="E81" s="28">
        <v>1.0</v>
      </c>
      <c r="F81" s="35"/>
    </row>
    <row r="82">
      <c r="A82" s="35"/>
      <c r="B82" s="35"/>
      <c r="C82" s="28">
        <v>14.0</v>
      </c>
      <c r="D82" s="28">
        <v>11.0</v>
      </c>
      <c r="E82" s="28">
        <v>1.0</v>
      </c>
      <c r="F82" s="35"/>
    </row>
    <row r="83">
      <c r="A83" s="35"/>
      <c r="B83" s="35"/>
      <c r="C83" s="28">
        <v>15.0</v>
      </c>
      <c r="D83" s="28">
        <v>8.0</v>
      </c>
      <c r="E83" s="28">
        <v>3.0</v>
      </c>
      <c r="F83" s="35"/>
    </row>
    <row r="84">
      <c r="A84" s="35"/>
      <c r="B84" s="35"/>
      <c r="C84" s="28">
        <v>16.0</v>
      </c>
      <c r="D84" s="28">
        <v>12.0</v>
      </c>
      <c r="E84" s="28">
        <v>1.0</v>
      </c>
      <c r="F84" s="35"/>
    </row>
    <row r="85">
      <c r="A85" s="35"/>
      <c r="B85" s="35"/>
      <c r="C85" s="28">
        <v>17.0</v>
      </c>
      <c r="D85" s="28">
        <v>12.0</v>
      </c>
      <c r="E85" s="28">
        <v>1.0</v>
      </c>
      <c r="F85" s="35"/>
    </row>
    <row r="86">
      <c r="A86" s="35"/>
      <c r="B86" s="35"/>
      <c r="C86" s="28">
        <v>18.0</v>
      </c>
      <c r="D86" s="28">
        <v>8.0</v>
      </c>
      <c r="E86" s="28">
        <v>1.0</v>
      </c>
      <c r="F86" s="35"/>
    </row>
    <row r="87">
      <c r="A87" s="35"/>
      <c r="B87" s="35"/>
      <c r="C87" s="28">
        <v>19.0</v>
      </c>
      <c r="D87" s="28">
        <v>9.0</v>
      </c>
      <c r="E87" s="28">
        <v>1.0</v>
      </c>
      <c r="F87" s="35"/>
    </row>
    <row r="88">
      <c r="A88" s="28"/>
      <c r="B88" s="35"/>
      <c r="C88" s="28">
        <v>20.0</v>
      </c>
      <c r="D88" s="28">
        <v>5.5</v>
      </c>
      <c r="E88" s="28">
        <v>3.0</v>
      </c>
      <c r="F88" s="35"/>
    </row>
    <row r="89">
      <c r="A89" s="35"/>
      <c r="B89" s="35"/>
      <c r="C89" s="28">
        <v>21.0</v>
      </c>
      <c r="D89" s="28">
        <v>10.0</v>
      </c>
      <c r="E89" s="28">
        <v>2.0</v>
      </c>
      <c r="F89" s="35"/>
    </row>
    <row r="90">
      <c r="A90" s="35"/>
      <c r="B90" s="35"/>
      <c r="C90" s="28">
        <v>22.0</v>
      </c>
      <c r="D90" s="28">
        <v>6.0</v>
      </c>
      <c r="E90" s="28">
        <v>2.0</v>
      </c>
      <c r="F90" s="35"/>
    </row>
    <row r="91">
      <c r="A91" s="35"/>
      <c r="B91" s="35"/>
      <c r="C91" s="28">
        <v>23.0</v>
      </c>
      <c r="D91" s="28">
        <v>10.5</v>
      </c>
      <c r="E91" s="28">
        <v>2.0</v>
      </c>
      <c r="F91" s="35"/>
    </row>
    <row r="92">
      <c r="A92" s="35"/>
      <c r="B92" s="35"/>
      <c r="C92" s="28">
        <v>24.0</v>
      </c>
      <c r="D92" s="28">
        <v>10.0</v>
      </c>
      <c r="E92" s="28">
        <v>1.0</v>
      </c>
      <c r="F92" s="35"/>
    </row>
    <row r="93">
      <c r="A93" s="35"/>
      <c r="B93" s="35"/>
      <c r="C93" s="28">
        <v>25.0</v>
      </c>
      <c r="D93" s="28">
        <v>11.5</v>
      </c>
      <c r="E93" s="28">
        <v>2.0</v>
      </c>
      <c r="F93" s="35"/>
    </row>
    <row r="94">
      <c r="A94" s="35"/>
      <c r="B94" s="35"/>
      <c r="C94" s="28">
        <v>26.0</v>
      </c>
      <c r="D94" s="28">
        <v>9.0</v>
      </c>
      <c r="E94" s="28">
        <v>1.0</v>
      </c>
      <c r="F94" s="35"/>
    </row>
    <row r="95">
      <c r="A95" s="35"/>
      <c r="B95" s="35"/>
      <c r="C95" s="28">
        <v>27.0</v>
      </c>
      <c r="D95" s="28">
        <v>7.0</v>
      </c>
      <c r="E95" s="28">
        <v>2.0</v>
      </c>
      <c r="F95" s="35"/>
    </row>
    <row r="96">
      <c r="A96" s="35"/>
      <c r="B96" s="35"/>
      <c r="C96" s="28">
        <v>28.0</v>
      </c>
      <c r="D96" s="28">
        <v>8.5</v>
      </c>
      <c r="E96" s="28">
        <v>1.0</v>
      </c>
      <c r="F96" s="35"/>
    </row>
    <row r="97">
      <c r="A97" s="35"/>
      <c r="B97" s="35"/>
      <c r="C97" s="28">
        <v>29.0</v>
      </c>
      <c r="D97" s="28">
        <v>11.5</v>
      </c>
      <c r="E97" s="28">
        <v>1.0</v>
      </c>
      <c r="F97" s="28" t="s">
        <v>197</v>
      </c>
    </row>
    <row r="98">
      <c r="A98" s="35"/>
      <c r="B98" s="35"/>
      <c r="C98" s="28">
        <v>30.0</v>
      </c>
      <c r="D98" s="28">
        <v>11.5</v>
      </c>
      <c r="E98" s="28">
        <v>2.0</v>
      </c>
      <c r="F98" s="35"/>
    </row>
    <row r="99">
      <c r="A99" s="35"/>
      <c r="B99" s="35"/>
      <c r="C99" s="28">
        <v>31.0</v>
      </c>
      <c r="D99" s="28">
        <v>9.0</v>
      </c>
      <c r="E99" s="28">
        <v>1.0</v>
      </c>
      <c r="F99" s="35"/>
    </row>
    <row r="100">
      <c r="A100" s="35"/>
      <c r="B100" s="35"/>
      <c r="C100" s="28">
        <v>32.0</v>
      </c>
      <c r="D100" s="28">
        <v>11.0</v>
      </c>
      <c r="E100" s="28">
        <v>1.0</v>
      </c>
      <c r="F100" s="35"/>
    </row>
    <row r="101">
      <c r="A101" s="35"/>
      <c r="B101" s="35"/>
      <c r="C101" s="28">
        <v>33.0</v>
      </c>
      <c r="D101" s="28">
        <v>9.0</v>
      </c>
      <c r="E101" s="28">
        <v>1.0</v>
      </c>
      <c r="F101" s="35"/>
    </row>
    <row r="102">
      <c r="A102" s="35"/>
      <c r="B102" s="35"/>
      <c r="C102" s="28">
        <v>34.0</v>
      </c>
      <c r="D102" s="28">
        <v>9.0</v>
      </c>
      <c r="E102" s="28">
        <v>1.0</v>
      </c>
      <c r="F102" s="35"/>
    </row>
    <row r="103">
      <c r="A103" s="35"/>
      <c r="B103" s="35"/>
      <c r="C103" s="28">
        <v>35.0</v>
      </c>
      <c r="D103" s="28">
        <v>17.0</v>
      </c>
      <c r="E103" s="28">
        <v>3.0</v>
      </c>
      <c r="F103" s="35"/>
    </row>
    <row r="104">
      <c r="A104" s="28">
        <v>2.0</v>
      </c>
      <c r="B104" s="28">
        <v>50.0</v>
      </c>
      <c r="C104" s="28">
        <v>1.0</v>
      </c>
      <c r="D104" s="28">
        <v>13.0</v>
      </c>
      <c r="E104" s="28">
        <v>1.0</v>
      </c>
      <c r="F104" s="35"/>
    </row>
    <row r="105">
      <c r="A105" s="35"/>
      <c r="B105" s="35"/>
      <c r="C105" s="28">
        <v>2.0</v>
      </c>
      <c r="D105" s="28">
        <v>12.0</v>
      </c>
      <c r="E105" s="28">
        <v>1.0</v>
      </c>
      <c r="F105" s="35"/>
    </row>
    <row r="106">
      <c r="A106" s="35"/>
      <c r="B106" s="35"/>
      <c r="C106" s="28">
        <v>3.0</v>
      </c>
      <c r="D106" s="28">
        <v>9.0</v>
      </c>
      <c r="E106" s="28">
        <v>2.0</v>
      </c>
      <c r="F106" s="35"/>
    </row>
    <row r="107">
      <c r="A107" s="35"/>
      <c r="B107" s="35"/>
      <c r="C107" s="28">
        <v>4.0</v>
      </c>
      <c r="D107" s="28">
        <v>10.5</v>
      </c>
      <c r="E107" s="28">
        <v>2.0</v>
      </c>
      <c r="F107" s="35"/>
    </row>
    <row r="108">
      <c r="A108" s="35"/>
      <c r="B108" s="35"/>
      <c r="C108" s="28">
        <v>5.0</v>
      </c>
      <c r="D108" s="28">
        <v>12.0</v>
      </c>
      <c r="E108" s="28">
        <v>1.0</v>
      </c>
      <c r="F108" s="35"/>
    </row>
    <row r="109">
      <c r="A109" s="35"/>
      <c r="B109" s="35"/>
      <c r="C109" s="28">
        <v>6.0</v>
      </c>
      <c r="D109" s="28">
        <v>8.0</v>
      </c>
      <c r="E109" s="28">
        <v>2.0</v>
      </c>
      <c r="F109" s="35"/>
    </row>
    <row r="110">
      <c r="A110" s="35"/>
      <c r="B110" s="35"/>
      <c r="C110" s="28">
        <v>7.0</v>
      </c>
      <c r="D110" s="28">
        <v>16.0</v>
      </c>
      <c r="E110" s="28">
        <v>1.0</v>
      </c>
      <c r="F110" s="35"/>
    </row>
    <row r="111">
      <c r="A111" s="35"/>
      <c r="B111" s="35"/>
      <c r="C111" s="28">
        <v>8.0</v>
      </c>
      <c r="D111" s="28">
        <v>8.0</v>
      </c>
      <c r="E111" s="28">
        <v>1.0</v>
      </c>
      <c r="F111" s="35"/>
    </row>
    <row r="112">
      <c r="A112" s="35"/>
      <c r="B112" s="35"/>
      <c r="C112" s="28">
        <v>9.0</v>
      </c>
      <c r="D112" s="28">
        <v>6.0</v>
      </c>
      <c r="E112" s="28">
        <v>2.0</v>
      </c>
      <c r="F112" s="35"/>
    </row>
    <row r="113">
      <c r="A113" s="35"/>
      <c r="B113" s="35"/>
      <c r="C113" s="28">
        <v>10.0</v>
      </c>
      <c r="D113" s="28">
        <v>8.5</v>
      </c>
      <c r="E113" s="28">
        <v>1.0</v>
      </c>
      <c r="F113" s="35"/>
    </row>
    <row r="114">
      <c r="A114" s="35"/>
      <c r="B114" s="35"/>
      <c r="C114" s="28">
        <v>11.0</v>
      </c>
      <c r="D114" s="28">
        <v>10.0</v>
      </c>
      <c r="E114" s="28">
        <v>1.0</v>
      </c>
      <c r="F114" s="35"/>
    </row>
    <row r="115">
      <c r="A115" s="35"/>
      <c r="B115" s="35"/>
      <c r="C115" s="28">
        <v>12.0</v>
      </c>
      <c r="D115" s="28">
        <v>7.0</v>
      </c>
      <c r="E115" s="28">
        <v>1.0</v>
      </c>
      <c r="F115" s="35"/>
    </row>
    <row r="116">
      <c r="A116" s="35"/>
      <c r="B116" s="35"/>
      <c r="C116" s="28">
        <v>13.0</v>
      </c>
      <c r="D116" s="28">
        <v>12.0</v>
      </c>
      <c r="E116" s="28">
        <v>1.0</v>
      </c>
      <c r="F116" s="35"/>
    </row>
    <row r="117">
      <c r="A117" s="35"/>
      <c r="B117" s="35"/>
      <c r="C117" s="28">
        <v>14.0</v>
      </c>
      <c r="D117" s="28">
        <v>12.5</v>
      </c>
      <c r="E117" s="28">
        <v>1.0</v>
      </c>
      <c r="F117" s="35"/>
    </row>
    <row r="118">
      <c r="A118" s="35"/>
      <c r="B118" s="35"/>
      <c r="C118" s="28">
        <v>15.0</v>
      </c>
      <c r="D118" s="28">
        <v>12.0</v>
      </c>
      <c r="E118" s="28">
        <v>2.0</v>
      </c>
      <c r="F118" s="35"/>
    </row>
    <row r="119">
      <c r="A119" s="35"/>
      <c r="B119" s="35"/>
      <c r="C119" s="28">
        <v>16.0</v>
      </c>
      <c r="D119" s="28">
        <v>13.0</v>
      </c>
      <c r="E119" s="28">
        <v>1.0</v>
      </c>
      <c r="F119" s="35"/>
    </row>
    <row r="120">
      <c r="A120" s="35"/>
      <c r="B120" s="35"/>
      <c r="C120" s="28">
        <v>17.0</v>
      </c>
      <c r="D120" s="28">
        <v>12.0</v>
      </c>
      <c r="E120" s="28">
        <v>1.0</v>
      </c>
      <c r="F120" s="35"/>
    </row>
    <row r="121">
      <c r="A121" s="35"/>
      <c r="B121" s="35"/>
      <c r="C121" s="28">
        <v>18.0</v>
      </c>
      <c r="D121" s="28">
        <v>9.0</v>
      </c>
      <c r="E121" s="28">
        <v>2.0</v>
      </c>
      <c r="F121" s="35"/>
    </row>
    <row r="122">
      <c r="A122" s="35"/>
      <c r="B122" s="35"/>
      <c r="C122" s="28">
        <v>19.0</v>
      </c>
      <c r="D122" s="28">
        <v>13.0</v>
      </c>
      <c r="E122" s="28">
        <v>3.0</v>
      </c>
      <c r="F122" s="35"/>
    </row>
    <row r="123">
      <c r="A123" s="35"/>
      <c r="B123" s="35"/>
      <c r="C123" s="28">
        <v>20.0</v>
      </c>
      <c r="D123" s="28">
        <v>9.0</v>
      </c>
      <c r="E123" s="28">
        <v>2.0</v>
      </c>
      <c r="F123" s="35"/>
    </row>
    <row r="124">
      <c r="A124" s="35"/>
      <c r="B124" s="35"/>
      <c r="C124" s="28">
        <v>21.0</v>
      </c>
      <c r="D124" s="28">
        <v>10.0</v>
      </c>
      <c r="E124" s="28">
        <v>2.0</v>
      </c>
      <c r="F124" s="35"/>
    </row>
    <row r="125">
      <c r="A125" s="35"/>
      <c r="B125" s="35"/>
      <c r="C125" s="28">
        <v>22.0</v>
      </c>
      <c r="D125" s="28">
        <v>8.0</v>
      </c>
      <c r="E125" s="28">
        <v>1.0</v>
      </c>
      <c r="F125" s="35"/>
    </row>
    <row r="126">
      <c r="A126" s="35"/>
      <c r="B126" s="35"/>
      <c r="C126" s="28">
        <v>23.0</v>
      </c>
      <c r="D126" s="28">
        <v>9.0</v>
      </c>
      <c r="E126" s="28">
        <v>1.0</v>
      </c>
      <c r="F126" s="35"/>
    </row>
    <row r="127">
      <c r="A127" s="35"/>
      <c r="B127" s="35"/>
      <c r="C127" s="28">
        <v>24.0</v>
      </c>
      <c r="D127" s="28">
        <v>8.0</v>
      </c>
      <c r="E127" s="28">
        <v>2.0</v>
      </c>
      <c r="F127" s="35"/>
    </row>
    <row r="128">
      <c r="A128" s="35"/>
      <c r="B128" s="35"/>
      <c r="C128" s="28">
        <v>25.0</v>
      </c>
      <c r="D128" s="28">
        <v>7.0</v>
      </c>
      <c r="E128" s="28">
        <v>1.0</v>
      </c>
      <c r="F128" s="35"/>
    </row>
    <row r="129">
      <c r="A129" s="35"/>
      <c r="B129" s="35"/>
      <c r="C129" s="35"/>
      <c r="D129" s="28">
        <v>12.5</v>
      </c>
      <c r="E129" s="28">
        <v>1.0</v>
      </c>
      <c r="F129" s="35"/>
    </row>
    <row r="130">
      <c r="A130" s="35"/>
      <c r="B130" s="35"/>
      <c r="C130" s="35"/>
      <c r="D130" s="28">
        <v>6.5</v>
      </c>
      <c r="E130" s="28">
        <v>1.0</v>
      </c>
      <c r="F130" s="35"/>
    </row>
    <row r="131">
      <c r="A131" s="35"/>
      <c r="B131" s="35"/>
      <c r="C131" s="35"/>
      <c r="D131" s="28">
        <v>12.0</v>
      </c>
      <c r="E131" s="28">
        <v>1.0</v>
      </c>
      <c r="F131" s="35"/>
    </row>
    <row r="132">
      <c r="A132" s="36" t="s">
        <v>144</v>
      </c>
    </row>
    <row r="133">
      <c r="A133" s="37" t="s">
        <v>263</v>
      </c>
      <c r="B133" s="38"/>
      <c r="C133" s="38"/>
      <c r="D133" s="38"/>
      <c r="E133" s="38"/>
      <c r="F133" s="39"/>
    </row>
    <row r="134">
      <c r="A134" s="37" t="s">
        <v>264</v>
      </c>
      <c r="B134" s="38"/>
      <c r="C134" s="38"/>
      <c r="D134" s="38"/>
      <c r="E134" s="38"/>
      <c r="F134" s="39"/>
    </row>
    <row r="135">
      <c r="A135" s="40"/>
      <c r="B135" s="41"/>
      <c r="C135" s="41"/>
      <c r="D135" s="41"/>
      <c r="E135" s="41"/>
      <c r="F135" s="42"/>
    </row>
    <row r="136">
      <c r="A136" s="43" t="s">
        <v>0</v>
      </c>
      <c r="B136" s="2" t="s">
        <v>265</v>
      </c>
      <c r="C136" s="2" t="s">
        <v>266</v>
      </c>
      <c r="D136" s="2" t="s">
        <v>267</v>
      </c>
      <c r="E136" s="2" t="s">
        <v>268</v>
      </c>
      <c r="F136" s="6" t="s">
        <v>269</v>
      </c>
    </row>
    <row r="137">
      <c r="A137" s="28">
        <v>1.0</v>
      </c>
      <c r="B137" s="28">
        <v>15.0</v>
      </c>
      <c r="C137" s="28">
        <v>1.0</v>
      </c>
      <c r="D137" s="28">
        <v>6.0</v>
      </c>
      <c r="E137" s="28">
        <v>2.0</v>
      </c>
      <c r="F137" s="28"/>
    </row>
    <row r="138">
      <c r="A138" s="28"/>
      <c r="B138" s="28"/>
      <c r="C138" s="28">
        <v>2.0</v>
      </c>
      <c r="D138" s="28">
        <v>6.5</v>
      </c>
      <c r="E138" s="28">
        <v>1.0</v>
      </c>
      <c r="F138" s="28"/>
    </row>
    <row r="139">
      <c r="A139" s="28"/>
      <c r="B139" s="28"/>
      <c r="C139" s="28">
        <v>3.0</v>
      </c>
      <c r="D139" s="28">
        <v>6.5</v>
      </c>
      <c r="E139" s="28">
        <v>2.0</v>
      </c>
      <c r="F139" s="28"/>
    </row>
    <row r="140">
      <c r="A140" s="28"/>
      <c r="B140" s="28"/>
      <c r="C140" s="28">
        <v>4.0</v>
      </c>
      <c r="D140" s="28">
        <v>7.5</v>
      </c>
      <c r="E140" s="28">
        <v>3.0</v>
      </c>
      <c r="F140" s="28"/>
    </row>
    <row r="141">
      <c r="A141" s="28"/>
      <c r="B141" s="28"/>
      <c r="C141" s="28">
        <v>5.0</v>
      </c>
      <c r="D141" s="28">
        <v>9.0</v>
      </c>
      <c r="E141" s="28">
        <v>1.0</v>
      </c>
      <c r="F141" s="35"/>
    </row>
    <row r="142">
      <c r="A142" s="28"/>
      <c r="B142" s="28"/>
      <c r="C142" s="28">
        <v>6.0</v>
      </c>
      <c r="D142" s="28">
        <v>8.5</v>
      </c>
      <c r="E142" s="28">
        <v>2.0</v>
      </c>
      <c r="F142" s="35"/>
    </row>
    <row r="143">
      <c r="A143" s="35"/>
      <c r="B143" s="35"/>
      <c r="C143" s="28">
        <v>7.0</v>
      </c>
      <c r="D143" s="28">
        <v>5.0</v>
      </c>
      <c r="E143" s="28">
        <v>2.0</v>
      </c>
      <c r="F143" s="35"/>
    </row>
    <row r="144">
      <c r="A144" s="35"/>
      <c r="B144" s="35"/>
      <c r="C144" s="28">
        <v>8.0</v>
      </c>
      <c r="D144" s="28">
        <v>5.0</v>
      </c>
      <c r="E144" s="28">
        <v>1.0</v>
      </c>
      <c r="F144" s="35"/>
    </row>
    <row r="145">
      <c r="A145" s="35"/>
      <c r="B145" s="35"/>
      <c r="C145" s="28">
        <v>9.0</v>
      </c>
      <c r="D145" s="28">
        <v>7.5</v>
      </c>
      <c r="E145" s="28">
        <v>3.0</v>
      </c>
      <c r="F145" s="35"/>
    </row>
    <row r="146">
      <c r="A146" s="35"/>
      <c r="B146" s="35"/>
      <c r="C146" s="28">
        <v>10.0</v>
      </c>
      <c r="D146" s="28">
        <v>9.5</v>
      </c>
      <c r="E146" s="28">
        <v>2.0</v>
      </c>
      <c r="F146" s="35"/>
    </row>
    <row r="147">
      <c r="A147" s="35"/>
      <c r="B147" s="35"/>
      <c r="C147" s="28">
        <v>11.0</v>
      </c>
      <c r="D147" s="28">
        <v>3.0</v>
      </c>
      <c r="E147" s="28">
        <v>1.0</v>
      </c>
      <c r="F147" s="35"/>
    </row>
    <row r="148">
      <c r="A148" s="35"/>
      <c r="B148" s="35"/>
      <c r="C148" s="28">
        <v>12.0</v>
      </c>
      <c r="D148" s="28">
        <v>9.0</v>
      </c>
      <c r="E148" s="28">
        <v>2.0</v>
      </c>
      <c r="F148" s="35"/>
    </row>
    <row r="149">
      <c r="A149" s="35"/>
      <c r="B149" s="35"/>
      <c r="C149" s="28">
        <v>13.0</v>
      </c>
      <c r="D149" s="28">
        <v>11.0</v>
      </c>
      <c r="E149" s="28">
        <v>2.0</v>
      </c>
      <c r="F149" s="35"/>
    </row>
    <row r="150">
      <c r="A150" s="35"/>
      <c r="B150" s="35"/>
      <c r="C150" s="28">
        <v>14.0</v>
      </c>
      <c r="D150" s="28">
        <v>7.0</v>
      </c>
      <c r="E150" s="28">
        <v>1.0</v>
      </c>
      <c r="F150" s="35"/>
    </row>
    <row r="151">
      <c r="A151" s="35"/>
      <c r="B151" s="35"/>
      <c r="C151" s="28">
        <v>15.0</v>
      </c>
      <c r="D151" s="28">
        <v>10.0</v>
      </c>
      <c r="E151" s="28">
        <v>3.0</v>
      </c>
      <c r="F151" s="35"/>
    </row>
    <row r="152">
      <c r="A152" s="28">
        <v>8.0</v>
      </c>
      <c r="B152" s="28">
        <v>25.0</v>
      </c>
      <c r="C152" s="28">
        <v>1.0</v>
      </c>
      <c r="D152" s="28">
        <v>8.0</v>
      </c>
      <c r="E152" s="28">
        <v>1.0</v>
      </c>
      <c r="F152" s="35"/>
    </row>
    <row r="153">
      <c r="A153" s="35"/>
      <c r="B153" s="28"/>
      <c r="C153" s="28">
        <v>2.0</v>
      </c>
      <c r="D153" s="28">
        <v>12.0</v>
      </c>
      <c r="E153" s="28">
        <v>3.0</v>
      </c>
      <c r="F153" s="35"/>
    </row>
    <row r="154">
      <c r="A154" s="35"/>
      <c r="B154" s="35"/>
      <c r="C154" s="28">
        <v>3.0</v>
      </c>
      <c r="D154" s="28">
        <v>15.5</v>
      </c>
      <c r="E154" s="28">
        <v>2.0</v>
      </c>
      <c r="F154" s="35"/>
    </row>
    <row r="155">
      <c r="A155" s="35"/>
      <c r="B155" s="35"/>
      <c r="C155" s="28">
        <v>4.0</v>
      </c>
      <c r="D155" s="28">
        <v>14.0</v>
      </c>
      <c r="E155" s="28">
        <v>2.0</v>
      </c>
      <c r="F155" s="35"/>
    </row>
    <row r="156">
      <c r="A156" s="35"/>
      <c r="B156" s="35"/>
      <c r="C156" s="28">
        <v>5.0</v>
      </c>
      <c r="D156" s="28">
        <v>16.0</v>
      </c>
      <c r="E156" s="28">
        <v>2.0</v>
      </c>
      <c r="F156" s="35"/>
    </row>
    <row r="157">
      <c r="A157" s="35"/>
      <c r="B157" s="35"/>
      <c r="C157" s="28">
        <v>6.0</v>
      </c>
      <c r="D157" s="28">
        <v>12.5</v>
      </c>
      <c r="E157" s="28">
        <v>1.0</v>
      </c>
      <c r="F157" s="35"/>
    </row>
    <row r="158">
      <c r="A158" s="35"/>
      <c r="B158" s="35"/>
      <c r="C158" s="28">
        <v>7.0</v>
      </c>
      <c r="D158" s="28">
        <v>13.5</v>
      </c>
      <c r="E158" s="28">
        <v>2.0</v>
      </c>
      <c r="F158" s="35"/>
    </row>
    <row r="159">
      <c r="A159" s="35"/>
      <c r="B159" s="35"/>
      <c r="C159" s="28">
        <v>8.0</v>
      </c>
      <c r="D159" s="28">
        <v>14.5</v>
      </c>
      <c r="E159" s="28">
        <v>3.0</v>
      </c>
      <c r="F159" s="35"/>
    </row>
    <row r="160">
      <c r="A160" s="35"/>
      <c r="B160" s="35"/>
      <c r="C160" s="28">
        <v>9.0</v>
      </c>
      <c r="D160" s="28">
        <v>16.5</v>
      </c>
      <c r="E160" s="28">
        <v>1.0</v>
      </c>
      <c r="F160" s="35"/>
    </row>
    <row r="161">
      <c r="A161" s="35"/>
      <c r="B161" s="35"/>
      <c r="C161" s="28">
        <v>10.0</v>
      </c>
      <c r="D161" s="28">
        <v>9.5</v>
      </c>
      <c r="E161" s="28">
        <v>2.0</v>
      </c>
      <c r="F161" s="35"/>
    </row>
    <row r="162">
      <c r="A162" s="35"/>
      <c r="B162" s="35"/>
      <c r="C162" s="28">
        <v>11.0</v>
      </c>
      <c r="D162" s="28">
        <v>14.0</v>
      </c>
      <c r="E162" s="28">
        <v>2.0</v>
      </c>
      <c r="F162" s="35"/>
    </row>
    <row r="163">
      <c r="A163" s="35"/>
      <c r="B163" s="35"/>
      <c r="C163" s="28">
        <v>12.0</v>
      </c>
      <c r="D163" s="28">
        <v>13.3</v>
      </c>
      <c r="E163" s="28">
        <v>1.0</v>
      </c>
      <c r="F163" s="35"/>
    </row>
    <row r="164">
      <c r="A164" s="35"/>
      <c r="B164" s="35"/>
      <c r="C164" s="28">
        <v>13.0</v>
      </c>
      <c r="D164" s="28">
        <v>10.0</v>
      </c>
      <c r="E164" s="28">
        <v>2.0</v>
      </c>
      <c r="F164" s="35"/>
    </row>
    <row r="165">
      <c r="A165" s="35"/>
      <c r="B165" s="35"/>
      <c r="C165" s="28">
        <v>14.0</v>
      </c>
      <c r="D165" s="28">
        <v>14.0</v>
      </c>
      <c r="E165" s="28">
        <v>2.0</v>
      </c>
      <c r="F165" s="35"/>
    </row>
    <row r="166">
      <c r="A166" s="35"/>
      <c r="B166" s="35"/>
      <c r="C166" s="28">
        <v>15.0</v>
      </c>
      <c r="D166" s="28">
        <v>11.0</v>
      </c>
      <c r="E166" s="28">
        <v>1.0</v>
      </c>
      <c r="F166" s="35"/>
    </row>
    <row r="167">
      <c r="A167" s="35"/>
      <c r="B167" s="35"/>
      <c r="C167" s="28">
        <v>16.0</v>
      </c>
      <c r="D167" s="28">
        <v>11.0</v>
      </c>
      <c r="E167" s="28">
        <v>1.0</v>
      </c>
      <c r="F167" s="35"/>
    </row>
    <row r="168">
      <c r="A168" s="35"/>
      <c r="B168" s="35"/>
      <c r="C168" s="28">
        <v>17.0</v>
      </c>
      <c r="D168" s="28">
        <v>9.5</v>
      </c>
      <c r="E168" s="28">
        <v>1.0</v>
      </c>
      <c r="F168" s="35"/>
    </row>
    <row r="169">
      <c r="A169" s="35"/>
      <c r="B169" s="35"/>
      <c r="C169" s="28">
        <v>18.0</v>
      </c>
      <c r="D169" s="28">
        <v>10.0</v>
      </c>
      <c r="E169" s="28">
        <v>1.0</v>
      </c>
      <c r="F169" s="35"/>
    </row>
    <row r="170">
      <c r="A170" s="35"/>
      <c r="B170" s="35"/>
      <c r="C170" s="28">
        <v>19.0</v>
      </c>
      <c r="D170" s="28">
        <v>8.0</v>
      </c>
      <c r="E170" s="28">
        <v>1.0</v>
      </c>
      <c r="F170" s="35"/>
    </row>
    <row r="171">
      <c r="A171" s="35"/>
      <c r="B171" s="35"/>
      <c r="C171" s="28">
        <v>20.0</v>
      </c>
      <c r="D171" s="28">
        <v>10.0</v>
      </c>
      <c r="E171" s="28">
        <v>1.0</v>
      </c>
      <c r="F171" s="35"/>
    </row>
    <row r="172">
      <c r="A172" s="35"/>
      <c r="B172" s="35"/>
      <c r="C172" s="28">
        <v>21.0</v>
      </c>
      <c r="D172" s="28">
        <v>12.5</v>
      </c>
      <c r="E172" s="28">
        <v>2.0</v>
      </c>
      <c r="F172" s="35"/>
    </row>
    <row r="173">
      <c r="A173" s="35"/>
      <c r="B173" s="35"/>
      <c r="C173" s="28">
        <v>22.0</v>
      </c>
      <c r="D173" s="28">
        <v>11.5</v>
      </c>
      <c r="E173" s="28">
        <v>2.0</v>
      </c>
      <c r="F173" s="35"/>
    </row>
    <row r="174">
      <c r="A174" s="35"/>
      <c r="B174" s="35"/>
      <c r="C174" s="28">
        <v>23.0</v>
      </c>
      <c r="D174" s="28">
        <v>13.0</v>
      </c>
      <c r="E174" s="28">
        <v>1.0</v>
      </c>
      <c r="F174" s="35"/>
    </row>
    <row r="175">
      <c r="A175" s="35"/>
      <c r="B175" s="35"/>
      <c r="C175" s="28">
        <v>24.0</v>
      </c>
      <c r="D175" s="28">
        <v>11.0</v>
      </c>
      <c r="E175" s="28">
        <v>2.0</v>
      </c>
      <c r="F175" s="35"/>
    </row>
    <row r="176">
      <c r="A176" s="35"/>
      <c r="B176" s="35"/>
      <c r="C176" s="28">
        <v>25.0</v>
      </c>
      <c r="D176" s="28">
        <v>12.0</v>
      </c>
      <c r="E176" s="28">
        <v>3.0</v>
      </c>
      <c r="F176" s="35"/>
    </row>
    <row r="177">
      <c r="A177" s="36" t="s">
        <v>144</v>
      </c>
    </row>
    <row r="178">
      <c r="A178" s="37" t="s">
        <v>270</v>
      </c>
      <c r="B178" s="38"/>
      <c r="C178" s="38"/>
      <c r="D178" s="38"/>
      <c r="E178" s="38"/>
      <c r="F178" s="39"/>
    </row>
    <row r="179">
      <c r="A179" s="37" t="s">
        <v>264</v>
      </c>
      <c r="B179" s="38"/>
      <c r="C179" s="38"/>
      <c r="D179" s="38"/>
      <c r="E179" s="38"/>
      <c r="F179" s="39"/>
    </row>
    <row r="180">
      <c r="A180" s="40"/>
      <c r="B180" s="41"/>
      <c r="C180" s="41"/>
      <c r="D180" s="41"/>
      <c r="E180" s="41"/>
      <c r="F180" s="42"/>
    </row>
    <row r="181">
      <c r="A181" s="43" t="s">
        <v>0</v>
      </c>
      <c r="B181" s="2" t="s">
        <v>271</v>
      </c>
      <c r="C181" s="2" t="s">
        <v>272</v>
      </c>
      <c r="D181" s="2" t="s">
        <v>273</v>
      </c>
      <c r="E181" s="2" t="s">
        <v>274</v>
      </c>
      <c r="F181" s="6" t="s">
        <v>275</v>
      </c>
    </row>
    <row r="182">
      <c r="A182" s="28">
        <v>5.0</v>
      </c>
      <c r="B182" s="28">
        <v>3.0</v>
      </c>
      <c r="C182" s="28">
        <v>1.0</v>
      </c>
      <c r="D182" s="28">
        <v>6.5</v>
      </c>
      <c r="E182" s="28"/>
      <c r="F182" s="28"/>
    </row>
    <row r="183">
      <c r="A183" s="28"/>
      <c r="B183" s="28"/>
      <c r="C183" s="28">
        <v>2.0</v>
      </c>
      <c r="D183" s="28">
        <v>4.0</v>
      </c>
      <c r="E183" s="28"/>
      <c r="F183" s="28"/>
    </row>
    <row r="184">
      <c r="A184" s="28"/>
      <c r="B184" s="28"/>
      <c r="C184" s="28">
        <v>3.0</v>
      </c>
      <c r="D184" s="28">
        <v>16.5</v>
      </c>
      <c r="E184" s="28"/>
      <c r="F184" s="28"/>
    </row>
    <row r="185">
      <c r="A185" s="28">
        <v>6.0</v>
      </c>
      <c r="B185" s="28">
        <v>5.0</v>
      </c>
      <c r="C185" s="28">
        <v>1.0</v>
      </c>
      <c r="D185" s="28">
        <v>6.0</v>
      </c>
      <c r="E185" s="28"/>
      <c r="F185" s="28"/>
    </row>
    <row r="186">
      <c r="A186" s="28"/>
      <c r="B186" s="28"/>
      <c r="C186" s="28">
        <v>2.0</v>
      </c>
      <c r="D186" s="28">
        <v>10.5</v>
      </c>
      <c r="E186" s="35"/>
      <c r="F186" s="35"/>
    </row>
    <row r="187">
      <c r="A187" s="28"/>
      <c r="B187" s="28"/>
      <c r="C187" s="28">
        <v>3.0</v>
      </c>
      <c r="D187" s="28">
        <v>7.0</v>
      </c>
      <c r="E187" s="35"/>
      <c r="F187" s="35"/>
    </row>
    <row r="188">
      <c r="A188" s="35"/>
      <c r="B188" s="35"/>
      <c r="C188" s="28">
        <v>4.0</v>
      </c>
      <c r="D188" s="28">
        <v>6.0</v>
      </c>
      <c r="E188" s="35"/>
      <c r="F188" s="35"/>
    </row>
    <row r="189">
      <c r="A189" s="35"/>
      <c r="B189" s="35"/>
      <c r="C189" s="28">
        <v>5.0</v>
      </c>
      <c r="D189" s="28">
        <v>4.0</v>
      </c>
      <c r="E189" s="35"/>
      <c r="F189" s="35"/>
    </row>
    <row r="190">
      <c r="A190" s="36" t="s">
        <v>144</v>
      </c>
    </row>
    <row r="191">
      <c r="A191" s="37" t="s">
        <v>276</v>
      </c>
      <c r="B191" s="38"/>
      <c r="C191" s="38"/>
      <c r="D191" s="38"/>
      <c r="E191" s="38"/>
      <c r="F191" s="39"/>
    </row>
    <row r="192">
      <c r="A192" s="37" t="s">
        <v>264</v>
      </c>
      <c r="B192" s="38"/>
      <c r="C192" s="38"/>
      <c r="D192" s="38"/>
      <c r="E192" s="38"/>
      <c r="F192" s="39"/>
    </row>
    <row r="193">
      <c r="A193" s="40"/>
      <c r="B193" s="41"/>
      <c r="C193" s="41"/>
      <c r="D193" s="41"/>
      <c r="E193" s="41"/>
      <c r="F193" s="42"/>
    </row>
    <row r="194">
      <c r="A194" s="43" t="s">
        <v>0</v>
      </c>
      <c r="B194" s="2" t="s">
        <v>277</v>
      </c>
      <c r="C194" s="2" t="s">
        <v>278</v>
      </c>
      <c r="D194" s="2" t="s">
        <v>279</v>
      </c>
      <c r="E194" s="2" t="s">
        <v>280</v>
      </c>
      <c r="F194" s="6" t="s">
        <v>281</v>
      </c>
    </row>
    <row r="195">
      <c r="A195" s="28">
        <v>5.0</v>
      </c>
      <c r="B195" s="28">
        <v>6.0</v>
      </c>
      <c r="C195" s="28">
        <v>1.0</v>
      </c>
      <c r="D195" s="28">
        <v>8.0</v>
      </c>
      <c r="E195" s="28"/>
      <c r="F195" s="28"/>
    </row>
    <row r="196">
      <c r="A196" s="28"/>
      <c r="B196" s="28"/>
      <c r="C196" s="28">
        <v>2.0</v>
      </c>
      <c r="D196" s="28">
        <v>6.5</v>
      </c>
      <c r="E196" s="28"/>
      <c r="F196" s="28"/>
    </row>
    <row r="197">
      <c r="A197" s="28"/>
      <c r="B197" s="28"/>
      <c r="C197" s="28">
        <v>3.0</v>
      </c>
      <c r="D197" s="28">
        <v>5.0</v>
      </c>
      <c r="E197" s="28"/>
      <c r="F197" s="28"/>
    </row>
    <row r="198">
      <c r="A198" s="28"/>
      <c r="B198" s="28"/>
      <c r="C198" s="28">
        <v>4.0</v>
      </c>
      <c r="D198" s="28">
        <v>4.5</v>
      </c>
      <c r="E198" s="28"/>
      <c r="F198" s="28"/>
    </row>
    <row r="199">
      <c r="A199" s="28"/>
      <c r="B199" s="28"/>
      <c r="C199" s="28">
        <v>5.0</v>
      </c>
      <c r="D199" s="28">
        <v>5.5</v>
      </c>
      <c r="E199" s="35"/>
      <c r="F199" s="35"/>
    </row>
    <row r="200">
      <c r="A200" s="28"/>
      <c r="B200" s="28"/>
      <c r="C200" s="28">
        <v>6.0</v>
      </c>
      <c r="D200" s="28">
        <v>3.0</v>
      </c>
      <c r="E200" s="35"/>
      <c r="F200" s="35"/>
    </row>
    <row r="201">
      <c r="A201" s="28">
        <v>6.0</v>
      </c>
      <c r="B201" s="28">
        <v>4.0</v>
      </c>
      <c r="C201" s="28">
        <v>1.0</v>
      </c>
      <c r="D201" s="28">
        <v>7.0</v>
      </c>
      <c r="E201" s="35"/>
      <c r="F201" s="35"/>
    </row>
    <row r="202">
      <c r="A202" s="35"/>
      <c r="B202" s="35"/>
      <c r="C202" s="28">
        <v>2.0</v>
      </c>
      <c r="D202" s="28">
        <v>2.0</v>
      </c>
      <c r="E202" s="35"/>
      <c r="F202" s="35"/>
    </row>
    <row r="203">
      <c r="A203" s="35"/>
      <c r="B203" s="35"/>
      <c r="C203" s="28">
        <v>3.0</v>
      </c>
      <c r="D203" s="28">
        <v>9.0</v>
      </c>
      <c r="E203" s="35"/>
      <c r="F203" s="35"/>
    </row>
    <row r="204">
      <c r="A204" s="35"/>
      <c r="B204" s="35"/>
      <c r="C204" s="28">
        <v>4.0</v>
      </c>
      <c r="D204" s="28">
        <v>9.0</v>
      </c>
      <c r="E204" s="35"/>
      <c r="F204" s="35"/>
    </row>
    <row r="205">
      <c r="A205" s="35"/>
      <c r="B205" s="35"/>
      <c r="C205" s="28"/>
      <c r="D205" s="28">
        <v>12.0</v>
      </c>
      <c r="E205" s="35"/>
      <c r="F205" s="35"/>
    </row>
    <row r="206">
      <c r="A206" s="28">
        <v>7.0</v>
      </c>
      <c r="B206" s="28">
        <v>6.0</v>
      </c>
      <c r="C206" s="28">
        <v>1.0</v>
      </c>
      <c r="D206" s="28">
        <v>15.0</v>
      </c>
      <c r="E206" s="35"/>
      <c r="F206" s="35"/>
    </row>
    <row r="207">
      <c r="A207" s="35"/>
      <c r="B207" s="35"/>
      <c r="C207" s="28">
        <v>2.0</v>
      </c>
      <c r="D207" s="28">
        <v>10.0</v>
      </c>
      <c r="E207" s="35"/>
      <c r="F207" s="35"/>
    </row>
    <row r="208">
      <c r="A208" s="35"/>
      <c r="B208" s="35"/>
      <c r="C208" s="28">
        <v>3.0</v>
      </c>
      <c r="D208" s="28">
        <v>20.0</v>
      </c>
      <c r="E208" s="35"/>
      <c r="F208" s="35"/>
    </row>
    <row r="209">
      <c r="A209" s="35"/>
      <c r="B209" s="35"/>
      <c r="C209" s="28">
        <v>4.0</v>
      </c>
      <c r="D209" s="28">
        <v>19.0</v>
      </c>
      <c r="E209" s="35"/>
      <c r="F209" s="35"/>
    </row>
    <row r="210">
      <c r="A210" s="35"/>
      <c r="B210" s="35"/>
      <c r="C210" s="28">
        <v>5.0</v>
      </c>
      <c r="D210" s="28">
        <v>16.0</v>
      </c>
      <c r="E210" s="35"/>
      <c r="F210" s="35"/>
    </row>
    <row r="211">
      <c r="A211" s="35"/>
      <c r="B211" s="35"/>
      <c r="C211" s="28">
        <v>6.0</v>
      </c>
      <c r="D211" s="28">
        <v>33.0</v>
      </c>
      <c r="E211" s="35"/>
      <c r="F211" s="35"/>
    </row>
    <row r="212">
      <c r="A212" s="36" t="s">
        <v>144</v>
      </c>
    </row>
    <row r="213">
      <c r="A213" s="37" t="s">
        <v>282</v>
      </c>
      <c r="B213" s="38"/>
      <c r="C213" s="38"/>
      <c r="D213" s="38"/>
      <c r="E213" s="38"/>
      <c r="F213" s="39"/>
    </row>
    <row r="214">
      <c r="A214" s="37" t="s">
        <v>264</v>
      </c>
      <c r="B214" s="38"/>
      <c r="C214" s="38"/>
      <c r="D214" s="38"/>
      <c r="E214" s="38"/>
      <c r="F214" s="39"/>
    </row>
    <row r="215">
      <c r="A215" s="40"/>
      <c r="B215" s="41"/>
      <c r="C215" s="41"/>
      <c r="D215" s="41"/>
      <c r="E215" s="41"/>
      <c r="F215" s="42"/>
    </row>
    <row r="216">
      <c r="A216" s="43" t="s">
        <v>0</v>
      </c>
      <c r="B216" s="2" t="s">
        <v>283</v>
      </c>
      <c r="C216" s="2" t="s">
        <v>284</v>
      </c>
      <c r="D216" s="2" t="s">
        <v>285</v>
      </c>
      <c r="E216" s="2" t="s">
        <v>286</v>
      </c>
      <c r="F216" s="6" t="s">
        <v>287</v>
      </c>
    </row>
    <row r="217">
      <c r="A217" s="28">
        <v>6.0</v>
      </c>
      <c r="B217" s="28">
        <v>23.0</v>
      </c>
      <c r="C217" s="28">
        <v>1.0</v>
      </c>
      <c r="D217" s="28">
        <v>3.0</v>
      </c>
      <c r="E217" s="28">
        <v>1.0</v>
      </c>
      <c r="F217" s="28"/>
    </row>
    <row r="218">
      <c r="A218" s="28"/>
      <c r="B218" s="28"/>
      <c r="C218" s="28">
        <v>2.0</v>
      </c>
      <c r="D218" s="28">
        <v>5.0</v>
      </c>
      <c r="E218" s="28">
        <v>1.0</v>
      </c>
      <c r="F218" s="28"/>
    </row>
    <row r="219">
      <c r="A219" s="28"/>
      <c r="B219" s="28"/>
      <c r="C219" s="28">
        <v>3.0</v>
      </c>
      <c r="D219" s="28">
        <v>1.0</v>
      </c>
      <c r="E219" s="28">
        <v>1.0</v>
      </c>
      <c r="F219" s="28"/>
    </row>
    <row r="220">
      <c r="A220" s="28"/>
      <c r="B220" s="28"/>
      <c r="C220" s="28">
        <v>4.0</v>
      </c>
      <c r="D220" s="28">
        <v>2.0</v>
      </c>
      <c r="E220" s="28">
        <v>1.0</v>
      </c>
      <c r="F220" s="28"/>
    </row>
    <row r="221">
      <c r="A221" s="28"/>
      <c r="B221" s="28"/>
      <c r="C221" s="28">
        <v>5.0</v>
      </c>
      <c r="D221" s="28">
        <v>4.5</v>
      </c>
      <c r="E221" s="28">
        <v>1.0</v>
      </c>
      <c r="F221" s="35"/>
    </row>
    <row r="222">
      <c r="A222" s="28"/>
      <c r="B222" s="28"/>
      <c r="C222" s="28">
        <v>6.0</v>
      </c>
      <c r="D222" s="28">
        <v>4.0</v>
      </c>
      <c r="E222" s="28">
        <v>1.0</v>
      </c>
      <c r="F222" s="35"/>
    </row>
    <row r="223">
      <c r="A223" s="35"/>
      <c r="B223" s="35"/>
      <c r="C223" s="28">
        <v>7.0</v>
      </c>
      <c r="D223" s="28">
        <v>5.5</v>
      </c>
      <c r="E223" s="28">
        <v>1.0</v>
      </c>
      <c r="F223" s="35"/>
    </row>
    <row r="224">
      <c r="A224" s="35"/>
      <c r="B224" s="35"/>
      <c r="C224" s="28">
        <v>8.0</v>
      </c>
      <c r="D224" s="28">
        <v>2.5</v>
      </c>
      <c r="E224" s="28">
        <v>1.0</v>
      </c>
      <c r="F224" s="35"/>
    </row>
    <row r="225">
      <c r="A225" s="35"/>
      <c r="B225" s="35"/>
      <c r="C225" s="28">
        <v>9.0</v>
      </c>
      <c r="D225" s="28">
        <v>3.0</v>
      </c>
      <c r="E225" s="28">
        <v>1.0</v>
      </c>
      <c r="F225" s="35"/>
    </row>
    <row r="226">
      <c r="A226" s="35"/>
      <c r="B226" s="35"/>
      <c r="C226" s="28">
        <v>10.0</v>
      </c>
      <c r="D226" s="28">
        <v>2.0</v>
      </c>
      <c r="E226" s="28">
        <v>1.0</v>
      </c>
      <c r="F226" s="35"/>
    </row>
    <row r="227">
      <c r="A227" s="35"/>
      <c r="B227" s="35"/>
      <c r="C227" s="28">
        <v>11.0</v>
      </c>
      <c r="D227" s="28">
        <v>5.0</v>
      </c>
      <c r="E227" s="28">
        <v>1.0</v>
      </c>
      <c r="F227" s="35"/>
    </row>
    <row r="228">
      <c r="A228" s="35"/>
      <c r="B228" s="35"/>
      <c r="C228" s="28">
        <v>12.0</v>
      </c>
      <c r="D228" s="28">
        <v>4.0</v>
      </c>
      <c r="E228" s="28">
        <v>1.0</v>
      </c>
      <c r="F228" s="35"/>
    </row>
    <row r="229">
      <c r="A229" s="35"/>
      <c r="B229" s="35"/>
      <c r="C229" s="28">
        <v>13.0</v>
      </c>
      <c r="D229" s="28">
        <v>4.0</v>
      </c>
      <c r="E229" s="28">
        <v>1.0</v>
      </c>
      <c r="F229" s="35"/>
    </row>
    <row r="230">
      <c r="A230" s="35"/>
      <c r="B230" s="35"/>
      <c r="C230" s="28">
        <v>14.0</v>
      </c>
      <c r="D230" s="28">
        <v>2.0</v>
      </c>
      <c r="E230" s="28">
        <v>1.0</v>
      </c>
      <c r="F230" s="35"/>
    </row>
    <row r="231">
      <c r="A231" s="35"/>
      <c r="B231" s="35"/>
      <c r="C231" s="28">
        <v>15.0</v>
      </c>
      <c r="D231" s="28">
        <v>2.0</v>
      </c>
      <c r="E231" s="28">
        <v>1.0</v>
      </c>
      <c r="F231" s="35"/>
    </row>
    <row r="232">
      <c r="A232" s="35"/>
      <c r="B232" s="35"/>
      <c r="C232" s="28">
        <v>16.0</v>
      </c>
      <c r="D232" s="28">
        <v>3.5</v>
      </c>
      <c r="E232" s="28">
        <v>1.0</v>
      </c>
      <c r="F232" s="35"/>
    </row>
    <row r="233">
      <c r="A233" s="35"/>
      <c r="B233" s="35"/>
      <c r="C233" s="28">
        <v>17.0</v>
      </c>
      <c r="D233" s="28">
        <v>2.0</v>
      </c>
      <c r="E233" s="28">
        <v>1.0</v>
      </c>
      <c r="F233" s="35"/>
    </row>
    <row r="234">
      <c r="A234" s="35"/>
      <c r="B234" s="35"/>
      <c r="C234" s="28">
        <v>18.0</v>
      </c>
      <c r="D234" s="28">
        <v>4.0</v>
      </c>
      <c r="E234" s="28">
        <v>1.0</v>
      </c>
      <c r="F234" s="35"/>
    </row>
    <row r="235">
      <c r="A235" s="28">
        <v>4.0</v>
      </c>
      <c r="B235" s="28">
        <v>26.0</v>
      </c>
      <c r="C235" s="28">
        <v>1.0</v>
      </c>
      <c r="D235" s="28">
        <v>3.0</v>
      </c>
      <c r="E235" s="28">
        <v>1.0</v>
      </c>
      <c r="F235" s="35"/>
    </row>
    <row r="236">
      <c r="A236" s="35"/>
      <c r="B236" s="35"/>
      <c r="C236" s="28">
        <v>2.0</v>
      </c>
      <c r="D236" s="28">
        <v>5.0</v>
      </c>
      <c r="E236" s="28">
        <v>1.0</v>
      </c>
      <c r="F236" s="35"/>
    </row>
    <row r="237">
      <c r="A237" s="35"/>
      <c r="B237" s="35"/>
      <c r="C237" s="28">
        <v>3.0</v>
      </c>
      <c r="D237" s="28">
        <v>3.0</v>
      </c>
      <c r="E237" s="28">
        <v>1.0</v>
      </c>
      <c r="F237" s="35"/>
    </row>
    <row r="238">
      <c r="A238" s="35"/>
      <c r="B238" s="35"/>
      <c r="C238" s="28">
        <v>4.0</v>
      </c>
      <c r="D238" s="28">
        <v>3.0</v>
      </c>
      <c r="E238" s="28">
        <v>1.0</v>
      </c>
      <c r="F238" s="35"/>
    </row>
    <row r="239">
      <c r="A239" s="35"/>
      <c r="B239" s="35"/>
      <c r="C239" s="28">
        <v>5.0</v>
      </c>
      <c r="D239" s="28">
        <v>5.0</v>
      </c>
      <c r="E239" s="28">
        <v>1.0</v>
      </c>
      <c r="F239" s="35"/>
    </row>
    <row r="240">
      <c r="A240" s="35"/>
      <c r="B240" s="35"/>
      <c r="C240" s="28">
        <v>6.0</v>
      </c>
      <c r="D240" s="28">
        <v>4.0</v>
      </c>
      <c r="E240" s="28">
        <v>1.0</v>
      </c>
      <c r="F240" s="35"/>
    </row>
    <row r="241">
      <c r="A241" s="35"/>
      <c r="B241" s="35"/>
      <c r="C241" s="28">
        <v>7.0</v>
      </c>
      <c r="D241" s="28">
        <v>3.0</v>
      </c>
      <c r="E241" s="28">
        <v>1.0</v>
      </c>
      <c r="F241" s="35"/>
    </row>
    <row r="242">
      <c r="A242" s="35"/>
      <c r="B242" s="35"/>
      <c r="C242" s="28">
        <v>8.0</v>
      </c>
      <c r="D242" s="28">
        <v>4.0</v>
      </c>
      <c r="E242" s="28">
        <v>1.0</v>
      </c>
      <c r="F242" s="35"/>
    </row>
    <row r="243">
      <c r="A243" s="35"/>
      <c r="B243" s="35"/>
      <c r="C243" s="28">
        <v>9.0</v>
      </c>
      <c r="D243" s="28">
        <v>4.0</v>
      </c>
      <c r="E243" s="28">
        <v>1.0</v>
      </c>
      <c r="F243" s="35"/>
    </row>
    <row r="244">
      <c r="A244" s="35"/>
      <c r="B244" s="35"/>
      <c r="C244" s="28">
        <v>10.0</v>
      </c>
      <c r="D244" s="28">
        <v>3.0</v>
      </c>
      <c r="E244" s="28">
        <v>1.0</v>
      </c>
      <c r="F244" s="35"/>
    </row>
    <row r="245">
      <c r="A245" s="35"/>
      <c r="B245" s="35"/>
      <c r="C245" s="28">
        <v>11.0</v>
      </c>
      <c r="D245" s="28">
        <v>3.0</v>
      </c>
      <c r="E245" s="28">
        <v>1.0</v>
      </c>
      <c r="F245" s="35"/>
    </row>
    <row r="246">
      <c r="A246" s="35"/>
      <c r="B246" s="35"/>
      <c r="C246" s="28">
        <v>12.0</v>
      </c>
      <c r="D246" s="28">
        <v>5.0</v>
      </c>
      <c r="E246" s="28">
        <v>1.0</v>
      </c>
      <c r="F246" s="35"/>
    </row>
    <row r="247">
      <c r="A247" s="35"/>
      <c r="B247" s="35"/>
      <c r="C247" s="28">
        <v>13.0</v>
      </c>
      <c r="D247" s="28">
        <v>4.0</v>
      </c>
      <c r="E247" s="28">
        <v>1.0</v>
      </c>
      <c r="F247" s="35"/>
    </row>
    <row r="248">
      <c r="A248" s="35"/>
      <c r="B248" s="35"/>
      <c r="C248" s="28">
        <v>14.0</v>
      </c>
      <c r="D248" s="28">
        <v>4.0</v>
      </c>
      <c r="E248" s="28">
        <v>1.0</v>
      </c>
      <c r="F248" s="35"/>
    </row>
    <row r="249">
      <c r="A249" s="35"/>
      <c r="B249" s="35"/>
      <c r="C249" s="28">
        <v>15.0</v>
      </c>
      <c r="D249" s="28">
        <v>2.0</v>
      </c>
      <c r="E249" s="28">
        <v>1.0</v>
      </c>
      <c r="F249" s="35"/>
    </row>
    <row r="250">
      <c r="A250" s="35"/>
      <c r="B250" s="35"/>
      <c r="C250" s="28">
        <v>16.0</v>
      </c>
      <c r="D250" s="28">
        <v>5.0</v>
      </c>
      <c r="E250" s="28">
        <v>1.0</v>
      </c>
      <c r="F250" s="35"/>
    </row>
    <row r="251">
      <c r="A251" s="35"/>
      <c r="B251" s="35"/>
      <c r="C251" s="28">
        <v>17.0</v>
      </c>
      <c r="D251" s="28">
        <v>4.0</v>
      </c>
      <c r="E251" s="28">
        <v>1.0</v>
      </c>
      <c r="F251" s="35"/>
    </row>
    <row r="252">
      <c r="A252" s="35"/>
      <c r="B252" s="35"/>
      <c r="C252" s="28">
        <v>18.0</v>
      </c>
      <c r="D252" s="28">
        <v>3.0</v>
      </c>
      <c r="E252" s="28">
        <v>2.0</v>
      </c>
      <c r="F252" s="35"/>
    </row>
    <row r="253">
      <c r="A253" s="35"/>
      <c r="B253" s="35"/>
      <c r="C253" s="28">
        <v>19.0</v>
      </c>
      <c r="D253" s="28">
        <v>2.0</v>
      </c>
      <c r="E253" s="28">
        <v>1.0</v>
      </c>
      <c r="F253" s="35"/>
    </row>
    <row r="254">
      <c r="A254" s="35"/>
      <c r="B254" s="35"/>
      <c r="C254" s="28">
        <v>20.0</v>
      </c>
      <c r="D254" s="28">
        <v>4.0</v>
      </c>
      <c r="E254" s="28">
        <v>1.0</v>
      </c>
      <c r="F254" s="35"/>
    </row>
    <row r="255">
      <c r="A255" s="35"/>
      <c r="B255" s="35"/>
      <c r="C255" s="28">
        <v>21.0</v>
      </c>
      <c r="D255" s="28">
        <v>3.0</v>
      </c>
      <c r="E255" s="28">
        <v>1.0</v>
      </c>
      <c r="F255" s="35"/>
    </row>
    <row r="256">
      <c r="A256" s="35"/>
      <c r="B256" s="35"/>
      <c r="C256" s="28">
        <v>22.0</v>
      </c>
      <c r="D256" s="28">
        <v>2.0</v>
      </c>
      <c r="E256" s="28">
        <v>1.0</v>
      </c>
      <c r="F256" s="35"/>
    </row>
    <row r="257">
      <c r="A257" s="35"/>
      <c r="B257" s="35"/>
      <c r="C257" s="28">
        <v>23.0</v>
      </c>
      <c r="D257" s="28">
        <v>1.5</v>
      </c>
      <c r="E257" s="28">
        <v>1.0</v>
      </c>
      <c r="F257" s="35"/>
    </row>
    <row r="258">
      <c r="A258" s="35"/>
      <c r="B258" s="35"/>
      <c r="C258" s="28">
        <v>24.0</v>
      </c>
      <c r="D258" s="28">
        <v>2.0</v>
      </c>
      <c r="E258" s="28">
        <v>2.0</v>
      </c>
      <c r="F258" s="35"/>
    </row>
    <row r="259">
      <c r="A259" s="35"/>
      <c r="B259" s="35"/>
      <c r="C259" s="28">
        <v>25.0</v>
      </c>
      <c r="D259" s="28">
        <v>2.0</v>
      </c>
      <c r="E259" s="28">
        <v>2.0</v>
      </c>
      <c r="F259" s="35"/>
    </row>
    <row r="260">
      <c r="A260" s="35"/>
      <c r="B260" s="35"/>
      <c r="C260" s="28">
        <v>26.0</v>
      </c>
      <c r="D260" s="28">
        <v>4.0</v>
      </c>
      <c r="E260" s="28">
        <v>1.0</v>
      </c>
      <c r="F260" s="35"/>
    </row>
    <row r="261">
      <c r="A261" s="36" t="s">
        <v>144</v>
      </c>
    </row>
    <row r="262">
      <c r="A262" s="37" t="s">
        <v>288</v>
      </c>
      <c r="B262" s="38"/>
      <c r="C262" s="38"/>
      <c r="D262" s="38"/>
      <c r="E262" s="38"/>
      <c r="F262" s="39"/>
    </row>
    <row r="263">
      <c r="A263" s="37" t="s">
        <v>264</v>
      </c>
      <c r="B263" s="38"/>
      <c r="C263" s="38"/>
      <c r="D263" s="38"/>
      <c r="E263" s="38"/>
      <c r="F263" s="39"/>
    </row>
    <row r="264">
      <c r="A264" s="40"/>
      <c r="B264" s="41"/>
      <c r="C264" s="41"/>
      <c r="D264" s="41"/>
      <c r="E264" s="41"/>
      <c r="F264" s="42"/>
    </row>
    <row r="265">
      <c r="A265" s="43" t="s">
        <v>0</v>
      </c>
      <c r="B265" s="2" t="s">
        <v>289</v>
      </c>
      <c r="C265" s="2" t="s">
        <v>290</v>
      </c>
      <c r="D265" s="2" t="s">
        <v>291</v>
      </c>
      <c r="E265" s="2" t="s">
        <v>292</v>
      </c>
      <c r="F265" s="6" t="s">
        <v>293</v>
      </c>
    </row>
    <row r="266">
      <c r="A266" s="28">
        <v>6.0</v>
      </c>
      <c r="B266" s="28">
        <v>9.0</v>
      </c>
      <c r="C266" s="28">
        <v>1.0</v>
      </c>
      <c r="D266" s="28">
        <v>9.0</v>
      </c>
      <c r="E266" s="28"/>
      <c r="F266" s="28"/>
    </row>
    <row r="267">
      <c r="A267" s="28"/>
      <c r="B267" s="28"/>
      <c r="C267" s="28">
        <v>2.0</v>
      </c>
      <c r="D267" s="28">
        <v>29.0</v>
      </c>
      <c r="E267" s="28"/>
      <c r="F267" s="28"/>
    </row>
    <row r="268">
      <c r="A268" s="28"/>
      <c r="B268" s="28"/>
      <c r="C268" s="28">
        <v>3.0</v>
      </c>
      <c r="D268" s="28">
        <v>9.0</v>
      </c>
      <c r="E268" s="28"/>
      <c r="F268" s="28"/>
    </row>
    <row r="269">
      <c r="A269" s="28"/>
      <c r="B269" s="28"/>
      <c r="C269" s="28">
        <v>4.0</v>
      </c>
      <c r="D269" s="28">
        <v>11.0</v>
      </c>
      <c r="E269" s="28"/>
      <c r="F269" s="28"/>
    </row>
    <row r="270">
      <c r="A270" s="28"/>
      <c r="B270" s="28"/>
      <c r="C270" s="28">
        <v>5.0</v>
      </c>
      <c r="D270" s="28">
        <v>16.0</v>
      </c>
      <c r="E270" s="35"/>
      <c r="F270" s="35"/>
    </row>
    <row r="271">
      <c r="A271" s="28"/>
      <c r="B271" s="28"/>
      <c r="C271" s="28">
        <v>6.0</v>
      </c>
      <c r="D271" s="28">
        <v>14.0</v>
      </c>
      <c r="E271" s="35"/>
      <c r="F271" s="35"/>
    </row>
    <row r="272">
      <c r="A272" s="35"/>
      <c r="B272" s="35"/>
      <c r="C272" s="28">
        <v>7.0</v>
      </c>
      <c r="D272" s="28">
        <v>5.0</v>
      </c>
      <c r="E272" s="35"/>
      <c r="F272" s="35"/>
    </row>
    <row r="273">
      <c r="A273" s="28">
        <v>7.0</v>
      </c>
      <c r="B273" s="28">
        <v>9.0</v>
      </c>
      <c r="C273" s="35"/>
      <c r="D273" s="28">
        <v>43.0</v>
      </c>
      <c r="E273" s="35"/>
      <c r="F273" s="35"/>
    </row>
    <row r="274">
      <c r="A274" s="35"/>
      <c r="B274" s="35"/>
      <c r="C274" s="35"/>
      <c r="D274" s="28">
        <v>49.0</v>
      </c>
      <c r="E274" s="35"/>
      <c r="F274" s="35"/>
    </row>
    <row r="275">
      <c r="A275" s="35"/>
      <c r="B275" s="35"/>
      <c r="C275" s="35"/>
      <c r="D275" s="28">
        <v>42.0</v>
      </c>
      <c r="E275" s="35"/>
      <c r="F275" s="35"/>
    </row>
    <row r="276">
      <c r="A276" s="35"/>
      <c r="B276" s="35"/>
      <c r="C276" s="35"/>
      <c r="D276" s="28">
        <v>37.0</v>
      </c>
      <c r="E276" s="35"/>
      <c r="F276" s="35"/>
    </row>
    <row r="277">
      <c r="A277" s="35"/>
      <c r="B277" s="35"/>
      <c r="C277" s="35"/>
      <c r="D277" s="28">
        <v>48.0</v>
      </c>
      <c r="E277" s="35"/>
      <c r="F277" s="35"/>
    </row>
    <row r="278">
      <c r="A278" s="35"/>
      <c r="B278" s="35"/>
      <c r="C278" s="35"/>
      <c r="D278" s="28">
        <v>37.0</v>
      </c>
      <c r="E278" s="35"/>
      <c r="F278" s="35"/>
    </row>
    <row r="279">
      <c r="A279" s="35"/>
      <c r="B279" s="35"/>
      <c r="C279" s="35"/>
      <c r="D279" s="28">
        <v>43.0</v>
      </c>
      <c r="E279" s="35"/>
      <c r="F279" s="35"/>
    </row>
    <row r="280">
      <c r="A280" s="35"/>
      <c r="B280" s="35"/>
      <c r="C280" s="35"/>
      <c r="D280" s="28">
        <v>46.0</v>
      </c>
      <c r="E280" s="35"/>
      <c r="F280" s="35"/>
    </row>
    <row r="281">
      <c r="A281" s="35"/>
      <c r="B281" s="35"/>
      <c r="C281" s="35"/>
      <c r="D281" s="28">
        <v>33.0</v>
      </c>
      <c r="E281" s="35"/>
      <c r="F281" s="35"/>
    </row>
    <row r="282">
      <c r="A282" s="28">
        <v>8.0</v>
      </c>
      <c r="B282" s="28">
        <v>6.0</v>
      </c>
      <c r="C282" s="28">
        <v>1.0</v>
      </c>
      <c r="D282" s="28">
        <v>39.0</v>
      </c>
      <c r="E282" s="35"/>
      <c r="F282" s="35"/>
    </row>
    <row r="283">
      <c r="A283" s="35"/>
      <c r="B283" s="35"/>
      <c r="C283" s="28">
        <v>2.0</v>
      </c>
      <c r="D283" s="28">
        <v>39.0</v>
      </c>
      <c r="E283" s="35"/>
      <c r="F283" s="35"/>
    </row>
    <row r="284">
      <c r="A284" s="35"/>
      <c r="B284" s="35"/>
      <c r="C284" s="28">
        <v>3.0</v>
      </c>
      <c r="D284" s="28">
        <v>14.0</v>
      </c>
      <c r="E284" s="35"/>
      <c r="F284" s="35"/>
    </row>
    <row r="285">
      <c r="A285" s="35"/>
      <c r="B285" s="35"/>
      <c r="C285" s="28">
        <v>4.0</v>
      </c>
      <c r="D285" s="28">
        <v>29.0</v>
      </c>
      <c r="E285" s="35"/>
      <c r="F285" s="35"/>
    </row>
    <row r="286">
      <c r="A286" s="36" t="s">
        <v>144</v>
      </c>
    </row>
    <row r="287">
      <c r="A287" s="37" t="s">
        <v>294</v>
      </c>
      <c r="B287" s="38"/>
      <c r="C287" s="38"/>
      <c r="D287" s="38"/>
      <c r="E287" s="38"/>
      <c r="F287" s="39"/>
    </row>
    <row r="288">
      <c r="A288" s="37" t="s">
        <v>264</v>
      </c>
      <c r="B288" s="38"/>
      <c r="C288" s="38"/>
      <c r="D288" s="38"/>
      <c r="E288" s="38"/>
      <c r="F288" s="39"/>
    </row>
    <row r="289">
      <c r="A289" s="40"/>
      <c r="B289" s="41"/>
      <c r="C289" s="41"/>
      <c r="D289" s="41"/>
      <c r="E289" s="41"/>
      <c r="F289" s="42"/>
    </row>
    <row r="290">
      <c r="A290" s="43" t="s">
        <v>0</v>
      </c>
      <c r="B290" s="2" t="s">
        <v>295</v>
      </c>
      <c r="C290" s="2" t="s">
        <v>296</v>
      </c>
      <c r="D290" s="2" t="s">
        <v>297</v>
      </c>
      <c r="E290" s="2" t="s">
        <v>298</v>
      </c>
      <c r="F290" s="6" t="s">
        <v>299</v>
      </c>
    </row>
    <row r="291">
      <c r="A291" s="28">
        <v>7.0</v>
      </c>
      <c r="B291" s="28">
        <v>6.0</v>
      </c>
      <c r="C291" s="28">
        <v>1.0</v>
      </c>
      <c r="D291" s="28">
        <v>31.0</v>
      </c>
      <c r="E291" s="28"/>
      <c r="F291" s="28"/>
    </row>
    <row r="292">
      <c r="A292" s="28"/>
      <c r="B292" s="28"/>
      <c r="C292" s="28">
        <v>2.0</v>
      </c>
      <c r="D292" s="28">
        <v>24.0</v>
      </c>
      <c r="E292" s="28"/>
      <c r="F292" s="28"/>
    </row>
    <row r="293">
      <c r="A293" s="28"/>
      <c r="B293" s="28"/>
      <c r="C293" s="28">
        <v>3.0</v>
      </c>
      <c r="D293" s="28">
        <v>48.0</v>
      </c>
      <c r="E293" s="28"/>
      <c r="F293" s="28"/>
    </row>
    <row r="294">
      <c r="A294" s="28"/>
      <c r="B294" s="28"/>
      <c r="C294" s="28">
        <v>4.0</v>
      </c>
      <c r="D294" s="28">
        <v>34.0</v>
      </c>
      <c r="E294" s="28"/>
      <c r="F294" s="28"/>
    </row>
    <row r="295">
      <c r="A295" s="28"/>
      <c r="B295" s="28"/>
      <c r="C295" s="28">
        <v>5.0</v>
      </c>
      <c r="D295" s="28">
        <v>25.0</v>
      </c>
      <c r="E295" s="35"/>
      <c r="F295" s="35"/>
    </row>
    <row r="296">
      <c r="A296" s="28"/>
      <c r="B296" s="28"/>
      <c r="C296" s="28">
        <v>6.0</v>
      </c>
      <c r="D296" s="28">
        <v>26.0</v>
      </c>
      <c r="E296" s="35"/>
      <c r="F296" s="35"/>
    </row>
    <row r="297">
      <c r="A297" s="28">
        <v>8.0</v>
      </c>
      <c r="B297" s="28">
        <v>10.0</v>
      </c>
      <c r="C297" s="28">
        <v>1.0</v>
      </c>
      <c r="D297" s="28">
        <v>26.0</v>
      </c>
      <c r="E297" s="35"/>
      <c r="F297" s="35"/>
    </row>
    <row r="298">
      <c r="A298" s="35"/>
      <c r="B298" s="35"/>
      <c r="C298" s="28">
        <v>2.0</v>
      </c>
      <c r="D298" s="28">
        <v>37.0</v>
      </c>
      <c r="E298" s="35"/>
      <c r="F298" s="35"/>
    </row>
    <row r="299">
      <c r="A299" s="35"/>
      <c r="B299" s="35"/>
      <c r="C299" s="28">
        <v>3.0</v>
      </c>
      <c r="D299" s="28">
        <v>24.0</v>
      </c>
      <c r="E299" s="35"/>
      <c r="F299" s="35"/>
    </row>
    <row r="300">
      <c r="A300" s="35"/>
      <c r="B300" s="35"/>
      <c r="C300" s="28">
        <v>4.0</v>
      </c>
      <c r="D300" s="28">
        <v>21.0</v>
      </c>
      <c r="E300" s="35"/>
      <c r="F300" s="35"/>
    </row>
    <row r="301">
      <c r="A301" s="35"/>
      <c r="B301" s="35"/>
      <c r="C301" s="28">
        <v>5.0</v>
      </c>
      <c r="D301" s="28">
        <v>26.0</v>
      </c>
      <c r="E301" s="35"/>
      <c r="F301" s="35"/>
    </row>
    <row r="302">
      <c r="A302" s="35"/>
      <c r="B302" s="35"/>
      <c r="C302" s="28">
        <v>6.0</v>
      </c>
      <c r="D302" s="28">
        <v>23.0</v>
      </c>
      <c r="E302" s="35"/>
      <c r="F302" s="35"/>
    </row>
    <row r="303">
      <c r="A303" s="35"/>
      <c r="B303" s="35"/>
      <c r="C303" s="28">
        <v>7.0</v>
      </c>
      <c r="D303" s="28">
        <v>24.0</v>
      </c>
      <c r="E303" s="35"/>
      <c r="F303" s="35"/>
    </row>
    <row r="304">
      <c r="A304" s="35"/>
      <c r="B304" s="35"/>
      <c r="C304" s="28">
        <v>8.0</v>
      </c>
      <c r="D304" s="28">
        <v>29.0</v>
      </c>
      <c r="E304" s="35"/>
      <c r="F304" s="35"/>
    </row>
    <row r="305">
      <c r="A305" s="35"/>
      <c r="B305" s="35"/>
      <c r="C305" s="28">
        <v>9.0</v>
      </c>
      <c r="D305" s="28">
        <v>25.0</v>
      </c>
      <c r="E305" s="35"/>
      <c r="F305" s="35"/>
    </row>
    <row r="306">
      <c r="A306" s="35"/>
      <c r="B306" s="35"/>
      <c r="C306" s="28">
        <v>10.0</v>
      </c>
      <c r="D306" s="28">
        <v>21.0</v>
      </c>
      <c r="E306" s="35"/>
      <c r="F306" s="35"/>
    </row>
    <row r="307">
      <c r="A307" s="36" t="s">
        <v>144</v>
      </c>
    </row>
    <row r="308">
      <c r="A308" s="37" t="s">
        <v>263</v>
      </c>
      <c r="B308" s="38"/>
      <c r="C308" s="38"/>
      <c r="D308" s="38"/>
      <c r="E308" s="38"/>
      <c r="F308" s="39"/>
    </row>
    <row r="309">
      <c r="A309" s="37" t="s">
        <v>264</v>
      </c>
      <c r="B309" s="38"/>
      <c r="C309" s="38"/>
      <c r="D309" s="38"/>
      <c r="E309" s="38"/>
      <c r="F309" s="39"/>
    </row>
    <row r="310">
      <c r="A310" s="40"/>
      <c r="B310" s="41"/>
      <c r="C310" s="41"/>
      <c r="D310" s="41"/>
      <c r="E310" s="41"/>
      <c r="F310" s="42"/>
    </row>
    <row r="311">
      <c r="A311" s="43" t="s">
        <v>0</v>
      </c>
      <c r="B311" s="2" t="s">
        <v>300</v>
      </c>
      <c r="C311" s="2" t="s">
        <v>301</v>
      </c>
      <c r="D311" s="2" t="s">
        <v>302</v>
      </c>
      <c r="E311" s="2" t="s">
        <v>303</v>
      </c>
      <c r="F311" s="6" t="s">
        <v>304</v>
      </c>
    </row>
    <row r="312">
      <c r="A312" s="28">
        <v>8.0</v>
      </c>
      <c r="B312" s="28">
        <v>25.0</v>
      </c>
      <c r="C312" s="28">
        <v>1.0</v>
      </c>
      <c r="D312" s="28">
        <v>8.0</v>
      </c>
      <c r="E312" s="28">
        <v>1.0</v>
      </c>
      <c r="F312" s="28"/>
    </row>
    <row r="313">
      <c r="A313" s="28"/>
      <c r="B313" s="28"/>
      <c r="C313" s="28">
        <v>2.0</v>
      </c>
      <c r="D313" s="28">
        <v>12.0</v>
      </c>
      <c r="E313" s="28">
        <v>3.0</v>
      </c>
      <c r="F313" s="28"/>
    </row>
    <row r="314">
      <c r="A314" s="28"/>
      <c r="B314" s="28"/>
      <c r="C314" s="28">
        <v>3.0</v>
      </c>
      <c r="D314" s="28">
        <v>15.5</v>
      </c>
      <c r="E314" s="28">
        <v>2.0</v>
      </c>
      <c r="F314" s="28"/>
    </row>
    <row r="315">
      <c r="A315" s="28"/>
      <c r="B315" s="28"/>
      <c r="C315" s="28">
        <v>4.0</v>
      </c>
      <c r="D315" s="28">
        <v>14.0</v>
      </c>
      <c r="E315" s="28">
        <v>2.0</v>
      </c>
      <c r="F315" s="28"/>
    </row>
    <row r="316">
      <c r="A316" s="28"/>
      <c r="B316" s="28"/>
      <c r="C316" s="28">
        <v>5.0</v>
      </c>
      <c r="D316" s="28">
        <v>16.0</v>
      </c>
      <c r="E316" s="28">
        <v>1.0</v>
      </c>
      <c r="F316" s="35"/>
    </row>
    <row r="317">
      <c r="A317" s="28"/>
      <c r="B317" s="28"/>
      <c r="C317" s="28">
        <v>6.0</v>
      </c>
      <c r="D317" s="28">
        <v>12.5</v>
      </c>
      <c r="E317" s="28">
        <v>2.0</v>
      </c>
      <c r="F317" s="35"/>
    </row>
    <row r="318">
      <c r="A318" s="35"/>
      <c r="B318" s="35"/>
      <c r="C318" s="28">
        <v>7.0</v>
      </c>
      <c r="D318" s="28">
        <v>13.5</v>
      </c>
      <c r="E318" s="28">
        <v>3.0</v>
      </c>
      <c r="F318" s="35"/>
    </row>
    <row r="319">
      <c r="A319" s="35"/>
      <c r="B319" s="35"/>
      <c r="C319" s="28">
        <v>8.0</v>
      </c>
      <c r="D319" s="28">
        <v>14.5</v>
      </c>
      <c r="E319" s="28">
        <v>1.0</v>
      </c>
      <c r="F319" s="35"/>
    </row>
    <row r="320">
      <c r="A320" s="35"/>
      <c r="B320" s="35"/>
      <c r="C320" s="28">
        <v>9.0</v>
      </c>
      <c r="D320" s="28">
        <v>16.5</v>
      </c>
      <c r="E320" s="28">
        <v>2.0</v>
      </c>
      <c r="F320" s="35"/>
    </row>
    <row r="321">
      <c r="A321" s="35"/>
      <c r="B321" s="35"/>
      <c r="C321" s="28">
        <v>10.0</v>
      </c>
      <c r="D321" s="28">
        <v>9.5</v>
      </c>
      <c r="E321" s="28">
        <v>2.0</v>
      </c>
      <c r="F321" s="35"/>
    </row>
    <row r="322">
      <c r="A322" s="35"/>
      <c r="B322" s="35"/>
      <c r="C322" s="28">
        <v>11.0</v>
      </c>
      <c r="D322" s="28">
        <v>14.0</v>
      </c>
      <c r="E322" s="28">
        <v>1.0</v>
      </c>
      <c r="F322" s="35"/>
    </row>
    <row r="323">
      <c r="A323" s="35"/>
      <c r="B323" s="35"/>
      <c r="C323" s="28">
        <v>12.0</v>
      </c>
      <c r="D323" s="28">
        <v>13.5</v>
      </c>
      <c r="E323" s="28">
        <v>2.0</v>
      </c>
      <c r="F323" s="35"/>
    </row>
    <row r="324">
      <c r="A324" s="35"/>
      <c r="B324" s="35"/>
      <c r="C324" s="28">
        <v>13.0</v>
      </c>
      <c r="D324" s="28">
        <v>10.0</v>
      </c>
      <c r="E324" s="28">
        <v>2.0</v>
      </c>
      <c r="F324" s="35"/>
    </row>
    <row r="325">
      <c r="A325" s="35"/>
      <c r="B325" s="35"/>
      <c r="C325" s="28">
        <v>1.0</v>
      </c>
      <c r="D325" s="28">
        <v>14.0</v>
      </c>
      <c r="E325" s="28">
        <v>1.0</v>
      </c>
      <c r="F325" s="35"/>
    </row>
    <row r="326">
      <c r="A326" s="35"/>
      <c r="B326" s="35"/>
      <c r="C326" s="28">
        <v>415.0</v>
      </c>
      <c r="D326" s="28">
        <v>11.0</v>
      </c>
      <c r="E326" s="28">
        <v>1.0</v>
      </c>
      <c r="F326" s="35"/>
    </row>
    <row r="327">
      <c r="A327" s="35"/>
      <c r="B327" s="35"/>
      <c r="C327" s="28">
        <v>16.0</v>
      </c>
      <c r="D327" s="28">
        <v>11.0</v>
      </c>
      <c r="E327" s="28">
        <v>1.0</v>
      </c>
      <c r="F327" s="35"/>
    </row>
    <row r="328">
      <c r="A328" s="35"/>
      <c r="B328" s="35"/>
      <c r="C328" s="28">
        <v>17.0</v>
      </c>
      <c r="D328" s="28">
        <v>9.5</v>
      </c>
      <c r="E328" s="28">
        <v>1.0</v>
      </c>
      <c r="F328" s="35"/>
    </row>
    <row r="329">
      <c r="A329" s="35"/>
      <c r="B329" s="35"/>
      <c r="C329" s="28">
        <v>18.0</v>
      </c>
      <c r="D329" s="28">
        <v>10.0</v>
      </c>
      <c r="E329" s="28">
        <v>1.0</v>
      </c>
      <c r="F329" s="35"/>
    </row>
    <row r="330">
      <c r="A330" s="35"/>
      <c r="B330" s="35"/>
      <c r="C330" s="28">
        <v>19.0</v>
      </c>
      <c r="D330" s="28">
        <v>8.0</v>
      </c>
      <c r="E330" s="28">
        <v>1.0</v>
      </c>
      <c r="F330" s="35"/>
    </row>
    <row r="331">
      <c r="A331" s="35"/>
      <c r="B331" s="35"/>
      <c r="C331" s="28">
        <v>20.0</v>
      </c>
      <c r="D331" s="28">
        <v>10.0</v>
      </c>
      <c r="E331" s="28">
        <v>1.0</v>
      </c>
      <c r="F331" s="35"/>
    </row>
    <row r="332">
      <c r="A332" s="35"/>
      <c r="B332" s="35"/>
      <c r="C332" s="28">
        <v>21.0</v>
      </c>
      <c r="D332" s="28">
        <v>12.5</v>
      </c>
      <c r="E332" s="28">
        <v>2.0</v>
      </c>
      <c r="F332" s="35"/>
    </row>
    <row r="333">
      <c r="A333" s="35"/>
      <c r="B333" s="35"/>
      <c r="C333" s="28">
        <v>22.0</v>
      </c>
      <c r="D333" s="28">
        <v>11.5</v>
      </c>
      <c r="E333" s="28">
        <v>2.0</v>
      </c>
      <c r="F333" s="35"/>
    </row>
    <row r="334">
      <c r="A334" s="35"/>
      <c r="B334" s="35"/>
      <c r="C334" s="28">
        <v>23.0</v>
      </c>
      <c r="D334" s="28">
        <v>13.0</v>
      </c>
      <c r="E334" s="28">
        <v>1.0</v>
      </c>
      <c r="F334" s="35"/>
    </row>
    <row r="335">
      <c r="A335" s="35"/>
      <c r="B335" s="35"/>
      <c r="C335" s="28">
        <v>24.0</v>
      </c>
      <c r="D335" s="28">
        <v>11.0</v>
      </c>
      <c r="E335" s="28">
        <v>2.0</v>
      </c>
      <c r="F335" s="35"/>
    </row>
    <row r="336">
      <c r="A336" s="35"/>
      <c r="B336" s="35"/>
      <c r="C336" s="28">
        <v>25.0</v>
      </c>
      <c r="D336" s="28">
        <v>12.0</v>
      </c>
      <c r="E336" s="28">
        <v>3.0</v>
      </c>
      <c r="F336" s="35"/>
    </row>
    <row r="337">
      <c r="A337" s="35"/>
      <c r="B337" s="35"/>
      <c r="C337" s="35"/>
      <c r="D337" s="35"/>
      <c r="E337" s="35"/>
      <c r="F337" s="35"/>
    </row>
    <row r="338">
      <c r="A338" s="35"/>
      <c r="B338" s="35"/>
      <c r="C338" s="35"/>
      <c r="D338" s="35"/>
      <c r="E338" s="35"/>
      <c r="F338" s="35"/>
    </row>
    <row r="339">
      <c r="A339" s="35"/>
      <c r="B339" s="35"/>
      <c r="C339" s="35"/>
      <c r="D339" s="35"/>
      <c r="E339" s="35"/>
      <c r="F339" s="35"/>
    </row>
    <row r="340">
      <c r="A340" s="35"/>
      <c r="B340" s="35"/>
      <c r="C340" s="35"/>
      <c r="D340" s="35"/>
      <c r="E340" s="35"/>
      <c r="F340" s="35"/>
    </row>
    <row r="341">
      <c r="A341" s="35"/>
      <c r="B341" s="35"/>
      <c r="C341" s="35"/>
      <c r="D341" s="35"/>
      <c r="E341" s="35"/>
      <c r="F341" s="35"/>
    </row>
    <row r="342">
      <c r="A342" s="35"/>
      <c r="B342" s="35"/>
      <c r="C342" s="35"/>
      <c r="D342" s="35"/>
      <c r="E342" s="35"/>
      <c r="F342" s="35"/>
    </row>
    <row r="343">
      <c r="A343" s="35"/>
      <c r="B343" s="35"/>
      <c r="C343" s="35"/>
      <c r="D343" s="35"/>
      <c r="E343" s="35"/>
      <c r="F343" s="35"/>
    </row>
    <row r="344">
      <c r="A344" s="35"/>
      <c r="B344" s="35"/>
      <c r="C344" s="35"/>
      <c r="D344" s="35"/>
      <c r="E344" s="35"/>
      <c r="F344" s="35"/>
    </row>
    <row r="345">
      <c r="A345" s="35"/>
      <c r="B345" s="35"/>
      <c r="C345" s="35"/>
      <c r="D345" s="35"/>
      <c r="E345" s="35"/>
      <c r="F345" s="35"/>
    </row>
    <row r="346">
      <c r="A346" s="35"/>
      <c r="B346" s="35"/>
      <c r="C346" s="35"/>
      <c r="D346" s="35"/>
      <c r="E346" s="35"/>
      <c r="F346" s="35"/>
    </row>
    <row r="347">
      <c r="A347" s="35"/>
      <c r="B347" s="35"/>
      <c r="C347" s="35"/>
      <c r="D347" s="35"/>
      <c r="E347" s="35"/>
      <c r="F347" s="35"/>
    </row>
    <row r="348">
      <c r="A348" s="35"/>
      <c r="B348" s="35"/>
      <c r="C348" s="35"/>
      <c r="D348" s="35"/>
      <c r="E348" s="35"/>
      <c r="F348" s="35"/>
    </row>
    <row r="349">
      <c r="A349" s="35"/>
      <c r="B349" s="35"/>
      <c r="C349" s="35"/>
      <c r="D349" s="35"/>
      <c r="E349" s="35"/>
      <c r="F349" s="35"/>
    </row>
    <row r="350">
      <c r="A350" s="35"/>
      <c r="B350" s="35"/>
      <c r="C350" s="35"/>
      <c r="D350" s="35"/>
      <c r="E350" s="35"/>
      <c r="F350" s="35"/>
    </row>
    <row r="351">
      <c r="A351" s="35"/>
      <c r="B351" s="35"/>
      <c r="C351" s="35"/>
      <c r="D351" s="35"/>
      <c r="E351" s="35"/>
      <c r="F351" s="35"/>
    </row>
    <row r="352">
      <c r="A352" s="35"/>
      <c r="B352" s="35"/>
      <c r="C352" s="35"/>
      <c r="D352" s="35"/>
      <c r="E352" s="35"/>
      <c r="F352" s="35"/>
    </row>
    <row r="353">
      <c r="A353" s="35"/>
      <c r="B353" s="35"/>
      <c r="C353" s="35"/>
      <c r="D353" s="35"/>
      <c r="E353" s="35"/>
      <c r="F353" s="35"/>
    </row>
    <row r="354">
      <c r="A354" s="35"/>
      <c r="B354" s="35"/>
      <c r="C354" s="35"/>
      <c r="D354" s="35"/>
      <c r="E354" s="35"/>
      <c r="F354" s="35"/>
    </row>
    <row r="355">
      <c r="A355" s="35"/>
      <c r="B355" s="35"/>
      <c r="C355" s="35"/>
      <c r="D355" s="35"/>
      <c r="E355" s="35"/>
      <c r="F355" s="35"/>
    </row>
    <row r="356">
      <c r="A356" s="35"/>
      <c r="B356" s="35"/>
      <c r="C356" s="35"/>
      <c r="D356" s="35"/>
      <c r="E356" s="35"/>
      <c r="F356" s="35"/>
    </row>
    <row r="357">
      <c r="A357" s="35"/>
      <c r="B357" s="35"/>
      <c r="C357" s="35"/>
      <c r="D357" s="35"/>
      <c r="E357" s="35"/>
      <c r="F357" s="35"/>
    </row>
    <row r="358">
      <c r="A358" s="35"/>
      <c r="B358" s="35"/>
      <c r="C358" s="35"/>
      <c r="D358" s="35"/>
      <c r="E358" s="35"/>
      <c r="F358" s="35"/>
    </row>
    <row r="359">
      <c r="A359" s="35"/>
      <c r="B359" s="35"/>
      <c r="C359" s="35"/>
      <c r="D359" s="35"/>
      <c r="E359" s="35"/>
      <c r="F359" s="35"/>
    </row>
    <row r="360">
      <c r="A360" s="35"/>
      <c r="B360" s="35"/>
      <c r="C360" s="35"/>
      <c r="D360" s="35"/>
      <c r="E360" s="35"/>
      <c r="F360" s="35"/>
    </row>
    <row r="361">
      <c r="A361" s="35"/>
      <c r="B361" s="35"/>
      <c r="C361" s="35"/>
      <c r="D361" s="35"/>
      <c r="E361" s="35"/>
      <c r="F361" s="35"/>
    </row>
    <row r="362">
      <c r="A362" s="35"/>
      <c r="B362" s="35"/>
      <c r="C362" s="35"/>
      <c r="D362" s="35"/>
      <c r="E362" s="35"/>
      <c r="F362" s="35"/>
    </row>
    <row r="363">
      <c r="A363" s="35"/>
      <c r="B363" s="35"/>
      <c r="C363" s="35"/>
      <c r="D363" s="35"/>
      <c r="E363" s="35"/>
      <c r="F363" s="35"/>
    </row>
    <row r="364">
      <c r="A364" s="35"/>
      <c r="B364" s="35"/>
      <c r="C364" s="35"/>
      <c r="D364" s="35"/>
      <c r="E364" s="35"/>
      <c r="F364" s="35"/>
    </row>
    <row r="365">
      <c r="A365" s="35"/>
      <c r="B365" s="35"/>
      <c r="C365" s="35"/>
      <c r="D365" s="35"/>
      <c r="E365" s="35"/>
      <c r="F365" s="35"/>
    </row>
  </sheetData>
  <mergeCells count="36">
    <mergeCell ref="A1:F1"/>
    <mergeCell ref="A2:F2"/>
    <mergeCell ref="A3:F3"/>
    <mergeCell ref="A4:F4"/>
    <mergeCell ref="A64:F64"/>
    <mergeCell ref="A65:F65"/>
    <mergeCell ref="A66:F66"/>
    <mergeCell ref="A67:F67"/>
    <mergeCell ref="A132:F132"/>
    <mergeCell ref="A133:F133"/>
    <mergeCell ref="A134:F134"/>
    <mergeCell ref="A135:F135"/>
    <mergeCell ref="A177:F177"/>
    <mergeCell ref="A178:F178"/>
    <mergeCell ref="A179:F179"/>
    <mergeCell ref="A180:F180"/>
    <mergeCell ref="A190:F190"/>
    <mergeCell ref="A191:F191"/>
    <mergeCell ref="A192:F192"/>
    <mergeCell ref="A193:F193"/>
    <mergeCell ref="A212:F212"/>
    <mergeCell ref="A286:F286"/>
    <mergeCell ref="A287:F287"/>
    <mergeCell ref="A288:F288"/>
    <mergeCell ref="A289:F289"/>
    <mergeCell ref="A307:F307"/>
    <mergeCell ref="A308:F308"/>
    <mergeCell ref="A309:F309"/>
    <mergeCell ref="A310:F310"/>
    <mergeCell ref="A213:F213"/>
    <mergeCell ref="A214:F214"/>
    <mergeCell ref="A215:F215"/>
    <mergeCell ref="A261:F261"/>
    <mergeCell ref="A262:F262"/>
    <mergeCell ref="A263:F263"/>
    <mergeCell ref="A264:F26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s>
  <sheetData>
    <row r="1">
      <c r="A1" s="45" t="s">
        <v>183</v>
      </c>
      <c r="B1" s="46" t="s">
        <v>110</v>
      </c>
      <c r="C1" s="46" t="s">
        <v>111</v>
      </c>
      <c r="D1" s="46" t="s">
        <v>112</v>
      </c>
      <c r="E1" s="46" t="s">
        <v>120</v>
      </c>
      <c r="F1" s="46" t="s">
        <v>114</v>
      </c>
      <c r="G1" s="46" t="s">
        <v>115</v>
      </c>
      <c r="H1" s="46" t="s">
        <v>116</v>
      </c>
      <c r="I1" s="46" t="s">
        <v>117</v>
      </c>
    </row>
    <row r="2">
      <c r="A2" s="28" t="s">
        <v>162</v>
      </c>
      <c r="B2" s="82">
        <f>39/50</f>
        <v>0.78</v>
      </c>
      <c r="C2" s="67">
        <f>13/15</f>
        <v>0.8666666667</v>
      </c>
      <c r="D2" s="67">
        <f>12/12</f>
        <v>1</v>
      </c>
      <c r="E2" s="68">
        <f>4/15</f>
        <v>0.2666666667</v>
      </c>
      <c r="F2" s="83">
        <f>4/7</f>
        <v>0.5714285714</v>
      </c>
      <c r="G2" s="68" t="s">
        <v>231</v>
      </c>
      <c r="H2" s="68">
        <f>2/5</f>
        <v>0.4</v>
      </c>
      <c r="I2" s="68">
        <f>5/10</f>
        <v>0.5</v>
      </c>
    </row>
    <row r="3">
      <c r="A3" s="28" t="s">
        <v>166</v>
      </c>
      <c r="B3" s="82">
        <f>34/50</f>
        <v>0.68</v>
      </c>
      <c r="C3" s="82">
        <f>4/15</f>
        <v>0.2666666667</v>
      </c>
      <c r="D3" s="67">
        <f>7/11</f>
        <v>0.6363636364</v>
      </c>
      <c r="E3" s="68">
        <f>5/10</f>
        <v>0.5</v>
      </c>
      <c r="F3" s="82">
        <f>6/7</f>
        <v>0.8571428571</v>
      </c>
      <c r="G3" s="68" t="s">
        <v>231</v>
      </c>
      <c r="H3" s="82">
        <f>0/5</f>
        <v>0</v>
      </c>
      <c r="I3" s="82">
        <f>1/10</f>
        <v>0.1</v>
      </c>
    </row>
    <row r="4">
      <c r="A4" s="45" t="s">
        <v>183</v>
      </c>
      <c r="B4" s="69" t="s">
        <v>110</v>
      </c>
      <c r="C4" s="69" t="s">
        <v>111</v>
      </c>
      <c r="D4" s="69" t="s">
        <v>112</v>
      </c>
      <c r="E4" s="69" t="s">
        <v>120</v>
      </c>
      <c r="F4" s="82" t="s">
        <v>114</v>
      </c>
      <c r="G4" s="69" t="s">
        <v>115</v>
      </c>
      <c r="H4" s="69" t="s">
        <v>116</v>
      </c>
      <c r="I4" s="69" t="s">
        <v>117</v>
      </c>
    </row>
    <row r="5">
      <c r="A5" s="28" t="s">
        <v>170</v>
      </c>
      <c r="B5" s="68"/>
      <c r="C5" s="68"/>
      <c r="D5" s="67">
        <f>8/10</f>
        <v>0.8</v>
      </c>
      <c r="E5" s="68">
        <f>13/48</f>
        <v>0.2708333333</v>
      </c>
      <c r="F5" s="82">
        <f>24/32</f>
        <v>0.75</v>
      </c>
      <c r="G5" s="68">
        <f>4/10</f>
        <v>0.4</v>
      </c>
      <c r="H5" s="82">
        <f t="shared" ref="H5:H6" si="1">0/9</f>
        <v>0</v>
      </c>
      <c r="I5" s="84" t="s">
        <v>231</v>
      </c>
    </row>
    <row r="6">
      <c r="A6" s="28" t="s">
        <v>174</v>
      </c>
      <c r="B6" s="68"/>
      <c r="C6" s="68"/>
      <c r="D6" s="67">
        <f>11/15</f>
        <v>0.7333333333</v>
      </c>
      <c r="E6" s="67">
        <f>26/49</f>
        <v>0.5306122449</v>
      </c>
      <c r="F6" s="82">
        <f>28/30</f>
        <v>0.9333333333</v>
      </c>
      <c r="G6" s="68" t="s">
        <v>231</v>
      </c>
      <c r="H6" s="82">
        <f t="shared" si="1"/>
        <v>0</v>
      </c>
      <c r="I6" s="84" t="s">
        <v>231</v>
      </c>
    </row>
    <row r="7">
      <c r="A7" s="51" t="s">
        <v>183</v>
      </c>
      <c r="B7" s="70" t="s">
        <v>110</v>
      </c>
      <c r="C7" s="70" t="s">
        <v>111</v>
      </c>
      <c r="D7" s="70" t="s">
        <v>112</v>
      </c>
      <c r="E7" s="70" t="s">
        <v>120</v>
      </c>
      <c r="F7" s="82" t="s">
        <v>114</v>
      </c>
      <c r="G7" s="70" t="s">
        <v>115</v>
      </c>
      <c r="H7" s="70" t="s">
        <v>116</v>
      </c>
      <c r="I7" s="70" t="s">
        <v>117</v>
      </c>
    </row>
    <row r="8">
      <c r="A8" s="28" t="s">
        <v>126</v>
      </c>
      <c r="B8" s="71"/>
      <c r="C8" s="71"/>
      <c r="D8" s="72"/>
      <c r="E8" s="67" t="s">
        <v>232</v>
      </c>
      <c r="F8" s="82">
        <f>32/32</f>
        <v>1</v>
      </c>
      <c r="G8" s="82">
        <f>0/3</f>
        <v>0</v>
      </c>
      <c r="H8" s="82">
        <f>0/6</f>
        <v>0</v>
      </c>
      <c r="I8" s="84" t="s">
        <v>231</v>
      </c>
    </row>
    <row r="9">
      <c r="A9" s="28" t="s">
        <v>128</v>
      </c>
      <c r="B9" s="82">
        <f>9/40</f>
        <v>0.225</v>
      </c>
      <c r="C9" s="71"/>
      <c r="D9" s="72"/>
      <c r="E9" s="67" t="s">
        <v>233</v>
      </c>
      <c r="F9" s="82">
        <f>21/32</f>
        <v>0.65625</v>
      </c>
      <c r="G9" s="82">
        <f>4/5</f>
        <v>0.8</v>
      </c>
      <c r="H9" s="82">
        <f>0/4</f>
        <v>0</v>
      </c>
      <c r="I9" s="82">
        <f>4/9</f>
        <v>0.4444444444</v>
      </c>
    </row>
    <row r="10">
      <c r="A10" s="8" t="s">
        <v>130</v>
      </c>
      <c r="B10" s="85">
        <f>21/25</f>
        <v>0.84</v>
      </c>
      <c r="C10" s="74">
        <f>13/13</f>
        <v>1</v>
      </c>
      <c r="D10" s="73">
        <f>9/9</f>
        <v>1</v>
      </c>
      <c r="E10" s="74">
        <f t="shared" ref="E10:E11" si="2">15/15</f>
        <v>1</v>
      </c>
      <c r="F10" s="85">
        <f>6/6</f>
        <v>1</v>
      </c>
      <c r="G10" s="75"/>
      <c r="H10" s="85">
        <f>1/6</f>
        <v>0.1666666667</v>
      </c>
      <c r="I10" s="74">
        <f>5/9</f>
        <v>0.5555555556</v>
      </c>
    </row>
    <row r="11">
      <c r="A11" s="8" t="s">
        <v>132</v>
      </c>
      <c r="B11" s="85">
        <f>4/25</f>
        <v>0.16</v>
      </c>
      <c r="C11" s="74">
        <f>25/25</f>
        <v>1</v>
      </c>
      <c r="D11" s="73">
        <f>10/10</f>
        <v>1</v>
      </c>
      <c r="E11" s="74">
        <f t="shared" si="2"/>
        <v>1</v>
      </c>
      <c r="F11" s="85">
        <f>10/10</f>
        <v>1</v>
      </c>
      <c r="G11" s="75"/>
      <c r="H11" s="74">
        <f t="shared" ref="H11:I11" si="3">6/6</f>
        <v>1</v>
      </c>
      <c r="I11" s="74">
        <f t="shared" si="3"/>
        <v>1</v>
      </c>
    </row>
    <row r="12">
      <c r="A12" s="8" t="s">
        <v>134</v>
      </c>
      <c r="B12" s="75"/>
      <c r="C12" s="75"/>
      <c r="D12" s="75"/>
      <c r="E12" s="75"/>
      <c r="F12" s="75"/>
      <c r="G12" s="75"/>
      <c r="H12" s="75"/>
      <c r="I12" s="75"/>
    </row>
    <row r="13">
      <c r="A13" s="8" t="s">
        <v>136</v>
      </c>
      <c r="B13" s="76"/>
      <c r="C13" s="76"/>
      <c r="D13" s="76"/>
      <c r="E13" s="77"/>
      <c r="F13" s="76"/>
      <c r="G13" s="77"/>
      <c r="H13" s="76"/>
      <c r="I13" s="76"/>
    </row>
    <row r="14">
      <c r="A14" s="8" t="s">
        <v>137</v>
      </c>
    </row>
    <row r="15">
      <c r="A15" s="8" t="s">
        <v>140</v>
      </c>
    </row>
    <row r="19">
      <c r="F19" s="68"/>
    </row>
    <row r="20">
      <c r="A20" s="78" t="s">
        <v>237</v>
      </c>
    </row>
    <row r="21">
      <c r="A21" s="86" t="s">
        <v>305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3.75"/>
    <col customWidth="1" min="4" max="4" width="18.75"/>
    <col customWidth="1" min="5" max="5" width="17.25"/>
    <col customWidth="1" min="6" max="6" width="24.5"/>
    <col customWidth="1" min="8" max="8" width="31.0"/>
    <col customWidth="1" min="10" max="10" width="21.63"/>
  </cols>
  <sheetData>
    <row r="1" ht="30.75" customHeight="1">
      <c r="A1" s="36" t="s">
        <v>144</v>
      </c>
      <c r="H1" s="8"/>
      <c r="I1" s="8"/>
      <c r="J1" s="8"/>
    </row>
    <row r="2" ht="30.75" customHeight="1">
      <c r="A2" s="37" t="s">
        <v>238</v>
      </c>
      <c r="B2" s="38"/>
      <c r="C2" s="38"/>
      <c r="D2" s="38"/>
      <c r="E2" s="38"/>
      <c r="F2" s="39"/>
      <c r="H2" s="8"/>
      <c r="I2" s="8"/>
      <c r="J2" s="8"/>
    </row>
    <row r="3" ht="30.75" customHeight="1">
      <c r="A3" s="37" t="s">
        <v>306</v>
      </c>
      <c r="B3" s="38"/>
      <c r="C3" s="38"/>
      <c r="D3" s="38"/>
      <c r="E3" s="38"/>
      <c r="F3" s="39"/>
      <c r="H3" s="8"/>
      <c r="I3" s="8"/>
      <c r="J3" s="8"/>
    </row>
    <row r="4" ht="30.75" customHeight="1">
      <c r="A4" s="40"/>
      <c r="B4" s="41"/>
      <c r="C4" s="41"/>
      <c r="D4" s="41"/>
      <c r="E4" s="41"/>
      <c r="F4" s="42"/>
      <c r="H4" s="8"/>
      <c r="I4" s="8"/>
      <c r="J4" s="8"/>
    </row>
    <row r="5" ht="67.5" customHeight="1">
      <c r="A5" s="43" t="s">
        <v>0</v>
      </c>
      <c r="B5" s="2" t="s">
        <v>307</v>
      </c>
      <c r="C5" s="2" t="s">
        <v>308</v>
      </c>
      <c r="D5" s="2" t="s">
        <v>309</v>
      </c>
      <c r="E5" s="2" t="s">
        <v>310</v>
      </c>
      <c r="F5" s="6" t="s">
        <v>311</v>
      </c>
    </row>
    <row r="6">
      <c r="A6" s="28">
        <v>1.0</v>
      </c>
      <c r="B6" s="28">
        <v>15.0</v>
      </c>
      <c r="C6" s="28" t="s">
        <v>112</v>
      </c>
      <c r="D6" s="28">
        <v>18.0</v>
      </c>
      <c r="E6" s="28">
        <v>1.0</v>
      </c>
      <c r="F6" s="28" t="s">
        <v>197</v>
      </c>
    </row>
    <row r="7">
      <c r="A7" s="28"/>
      <c r="B7" s="28"/>
      <c r="C7" s="28" t="s">
        <v>112</v>
      </c>
      <c r="D7" s="28">
        <v>12.0</v>
      </c>
      <c r="E7" s="28">
        <v>1.0</v>
      </c>
      <c r="F7" s="28" t="s">
        <v>312</v>
      </c>
    </row>
    <row r="8">
      <c r="A8" s="28"/>
      <c r="B8" s="28"/>
      <c r="C8" s="28" t="s">
        <v>112</v>
      </c>
      <c r="D8" s="28">
        <v>4.0</v>
      </c>
      <c r="E8" s="28">
        <v>1.0</v>
      </c>
      <c r="F8" s="28" t="s">
        <v>199</v>
      </c>
    </row>
    <row r="9">
      <c r="A9" s="28"/>
      <c r="B9" s="28"/>
      <c r="C9" s="28" t="s">
        <v>112</v>
      </c>
      <c r="D9" s="28">
        <v>12.0</v>
      </c>
      <c r="E9" s="28">
        <v>1.0</v>
      </c>
      <c r="F9" s="28" t="s">
        <v>199</v>
      </c>
    </row>
    <row r="10">
      <c r="A10" s="28"/>
      <c r="B10" s="28"/>
      <c r="C10" s="28" t="s">
        <v>112</v>
      </c>
      <c r="D10" s="28">
        <v>21.0</v>
      </c>
      <c r="E10" s="28">
        <v>1.0</v>
      </c>
      <c r="F10" s="28" t="s">
        <v>312</v>
      </c>
    </row>
    <row r="11">
      <c r="A11" s="28"/>
      <c r="B11" s="28"/>
      <c r="C11" s="28" t="s">
        <v>112</v>
      </c>
      <c r="D11" s="28">
        <v>9.0</v>
      </c>
      <c r="E11" s="28">
        <v>1.0</v>
      </c>
      <c r="F11" s="28" t="s">
        <v>199</v>
      </c>
    </row>
    <row r="12">
      <c r="A12" s="35"/>
      <c r="B12" s="35"/>
      <c r="C12" s="28" t="s">
        <v>112</v>
      </c>
      <c r="D12" s="28">
        <v>6.0</v>
      </c>
      <c r="E12" s="28">
        <v>1.0</v>
      </c>
      <c r="F12" s="35"/>
    </row>
    <row r="13">
      <c r="A13" s="35"/>
      <c r="B13" s="35"/>
      <c r="C13" s="28" t="s">
        <v>112</v>
      </c>
      <c r="D13" s="28">
        <v>9.0</v>
      </c>
      <c r="E13" s="28">
        <v>1.0</v>
      </c>
      <c r="F13" s="28" t="s">
        <v>198</v>
      </c>
    </row>
    <row r="14">
      <c r="A14" s="35"/>
      <c r="B14" s="35"/>
      <c r="C14" s="28" t="s">
        <v>112</v>
      </c>
      <c r="D14" s="28">
        <v>17.0</v>
      </c>
      <c r="E14" s="28">
        <v>1.0</v>
      </c>
      <c r="F14" s="28" t="s">
        <v>198</v>
      </c>
    </row>
    <row r="15">
      <c r="A15" s="35"/>
      <c r="B15" s="35"/>
      <c r="C15" s="28" t="s">
        <v>112</v>
      </c>
      <c r="D15" s="28">
        <v>13.0</v>
      </c>
      <c r="E15" s="28">
        <v>1.0</v>
      </c>
      <c r="F15" s="28" t="s">
        <v>198</v>
      </c>
    </row>
    <row r="16">
      <c r="A16" s="35"/>
      <c r="B16" s="35"/>
      <c r="C16" s="28" t="s">
        <v>112</v>
      </c>
      <c r="D16" s="28">
        <v>4.0</v>
      </c>
      <c r="E16" s="28">
        <v>1.0</v>
      </c>
      <c r="F16" s="28" t="s">
        <v>198</v>
      </c>
    </row>
    <row r="17">
      <c r="A17" s="35"/>
      <c r="B17" s="35"/>
      <c r="C17" s="28" t="s">
        <v>112</v>
      </c>
      <c r="D17" s="28">
        <v>5.0</v>
      </c>
      <c r="E17" s="28">
        <v>1.0</v>
      </c>
      <c r="F17" s="28" t="s">
        <v>198</v>
      </c>
    </row>
    <row r="18">
      <c r="A18" s="35"/>
      <c r="B18" s="35">
        <f>count(D6:D18)</f>
        <v>13</v>
      </c>
      <c r="C18" s="28" t="s">
        <v>112</v>
      </c>
      <c r="D18" s="28">
        <v>8.0</v>
      </c>
      <c r="E18" s="28">
        <v>1.0</v>
      </c>
      <c r="F18" s="28" t="s">
        <v>198</v>
      </c>
    </row>
    <row r="19">
      <c r="A19" s="28">
        <v>2.0</v>
      </c>
      <c r="B19" s="28">
        <v>15.0</v>
      </c>
      <c r="C19" s="28" t="s">
        <v>112</v>
      </c>
      <c r="D19" s="28">
        <v>7.0</v>
      </c>
      <c r="E19" s="28">
        <v>1.0</v>
      </c>
      <c r="F19" s="28" t="s">
        <v>199</v>
      </c>
    </row>
    <row r="20">
      <c r="A20" s="35"/>
      <c r="B20" s="35"/>
      <c r="C20" s="28" t="s">
        <v>112</v>
      </c>
      <c r="D20" s="28">
        <v>5.0</v>
      </c>
      <c r="E20" s="28">
        <v>3.0</v>
      </c>
      <c r="F20" s="28" t="s">
        <v>199</v>
      </c>
    </row>
    <row r="21">
      <c r="A21" s="35"/>
      <c r="B21" s="35"/>
      <c r="C21" s="28" t="s">
        <v>112</v>
      </c>
      <c r="D21" s="28">
        <v>8.0</v>
      </c>
      <c r="E21" s="28">
        <v>1.0</v>
      </c>
      <c r="F21" s="28" t="s">
        <v>198</v>
      </c>
    </row>
    <row r="22">
      <c r="A22" s="35"/>
      <c r="B22" s="35">
        <f>count(D19:D22)</f>
        <v>4</v>
      </c>
      <c r="C22" s="28" t="s">
        <v>112</v>
      </c>
      <c r="D22" s="28">
        <v>6.0</v>
      </c>
      <c r="E22" s="28">
        <v>2.0</v>
      </c>
      <c r="F22" s="28" t="s">
        <v>198</v>
      </c>
    </row>
    <row r="23">
      <c r="A23" s="28">
        <v>3.0</v>
      </c>
      <c r="B23" s="28">
        <v>21.0</v>
      </c>
      <c r="C23" s="28" t="s">
        <v>112</v>
      </c>
      <c r="D23" s="28">
        <v>2.0</v>
      </c>
      <c r="E23" s="28">
        <v>2.0</v>
      </c>
      <c r="F23" s="28" t="s">
        <v>198</v>
      </c>
    </row>
    <row r="24">
      <c r="A24" s="35"/>
      <c r="B24" s="35"/>
      <c r="C24" s="28" t="s">
        <v>112</v>
      </c>
      <c r="D24" s="28">
        <v>2.0</v>
      </c>
      <c r="E24" s="28">
        <v>1.0</v>
      </c>
      <c r="F24" s="28" t="s">
        <v>198</v>
      </c>
    </row>
    <row r="25">
      <c r="A25" s="35"/>
      <c r="B25" s="35"/>
      <c r="C25" s="28" t="s">
        <v>112</v>
      </c>
      <c r="D25" s="28">
        <v>2.0</v>
      </c>
      <c r="E25" s="28">
        <v>1.0</v>
      </c>
      <c r="F25" s="35"/>
    </row>
    <row r="26">
      <c r="A26" s="35"/>
      <c r="B26" s="35"/>
      <c r="C26" s="28" t="s">
        <v>112</v>
      </c>
      <c r="D26" s="28">
        <v>5.0</v>
      </c>
      <c r="E26" s="28">
        <v>2.0</v>
      </c>
      <c r="F26" s="28" t="s">
        <v>198</v>
      </c>
    </row>
    <row r="27">
      <c r="A27" s="35"/>
      <c r="B27" s="35"/>
      <c r="C27" s="28" t="s">
        <v>112</v>
      </c>
      <c r="D27" s="28">
        <v>3.0</v>
      </c>
      <c r="E27" s="28">
        <v>1.0</v>
      </c>
      <c r="F27" s="35"/>
    </row>
    <row r="28">
      <c r="A28" s="35"/>
      <c r="B28" s="35"/>
      <c r="C28" s="28" t="s">
        <v>112</v>
      </c>
      <c r="D28" s="28">
        <v>6.0</v>
      </c>
      <c r="E28" s="28">
        <v>1.0</v>
      </c>
      <c r="F28" s="28" t="s">
        <v>198</v>
      </c>
    </row>
    <row r="29">
      <c r="A29" s="35"/>
      <c r="B29" s="35"/>
      <c r="C29" s="28" t="s">
        <v>112</v>
      </c>
      <c r="D29" s="28">
        <v>7.0</v>
      </c>
      <c r="E29" s="28">
        <v>1.0</v>
      </c>
      <c r="F29" s="28" t="s">
        <v>198</v>
      </c>
    </row>
    <row r="30">
      <c r="A30" s="35"/>
      <c r="B30" s="35"/>
      <c r="C30" s="28" t="s">
        <v>112</v>
      </c>
      <c r="D30" s="28">
        <v>2.0</v>
      </c>
      <c r="E30" s="28">
        <v>1.0</v>
      </c>
      <c r="F30" s="35"/>
    </row>
    <row r="31">
      <c r="A31" s="35"/>
      <c r="B31" s="35"/>
      <c r="C31" s="28" t="s">
        <v>112</v>
      </c>
      <c r="D31" s="28">
        <v>5.0</v>
      </c>
      <c r="E31" s="28">
        <v>1.0</v>
      </c>
      <c r="F31" s="35"/>
    </row>
    <row r="32">
      <c r="A32" s="35"/>
      <c r="B32" s="35"/>
      <c r="C32" s="28" t="s">
        <v>112</v>
      </c>
      <c r="D32" s="28">
        <v>4.0</v>
      </c>
      <c r="E32" s="28">
        <v>2.0</v>
      </c>
      <c r="F32" s="35"/>
    </row>
    <row r="33">
      <c r="A33" s="35"/>
      <c r="B33" s="35"/>
      <c r="C33" s="28" t="s">
        <v>112</v>
      </c>
      <c r="D33" s="28">
        <v>2.0</v>
      </c>
      <c r="E33" s="28">
        <v>1.0</v>
      </c>
      <c r="F33" s="35"/>
    </row>
    <row r="34">
      <c r="A34" s="35"/>
      <c r="B34" s="35"/>
      <c r="C34" s="28" t="s">
        <v>112</v>
      </c>
      <c r="D34" s="28">
        <v>2.0</v>
      </c>
      <c r="E34" s="28">
        <v>1.0</v>
      </c>
      <c r="F34" s="35"/>
    </row>
    <row r="35">
      <c r="A35" s="35"/>
      <c r="B35" s="35"/>
      <c r="C35" s="28" t="s">
        <v>112</v>
      </c>
      <c r="D35" s="28">
        <v>5.0</v>
      </c>
      <c r="E35" s="28">
        <v>1.0</v>
      </c>
      <c r="F35" s="35"/>
    </row>
    <row r="36">
      <c r="A36" s="35"/>
      <c r="B36" s="35"/>
      <c r="C36" s="28" t="s">
        <v>112</v>
      </c>
      <c r="D36" s="28">
        <v>4.0</v>
      </c>
      <c r="E36" s="28">
        <v>1.0</v>
      </c>
      <c r="F36" s="35"/>
    </row>
    <row r="37">
      <c r="A37" s="35"/>
      <c r="B37" s="35">
        <f>count(D23:D37)</f>
        <v>15</v>
      </c>
      <c r="C37" s="28" t="s">
        <v>112</v>
      </c>
      <c r="D37" s="28">
        <v>6.0</v>
      </c>
      <c r="E37" s="28">
        <v>1.0</v>
      </c>
      <c r="F37" s="28" t="s">
        <v>198</v>
      </c>
    </row>
    <row r="38">
      <c r="A38" s="28">
        <v>4.0</v>
      </c>
      <c r="B38" s="28">
        <v>15.0</v>
      </c>
      <c r="C38" s="28" t="s">
        <v>112</v>
      </c>
      <c r="D38" s="81">
        <v>3.0</v>
      </c>
      <c r="E38" s="28">
        <v>1.0</v>
      </c>
      <c r="F38" s="28" t="s">
        <v>198</v>
      </c>
    </row>
    <row r="39">
      <c r="A39" s="35"/>
      <c r="B39" s="35"/>
      <c r="C39" s="28" t="s">
        <v>112</v>
      </c>
      <c r="D39" s="81">
        <v>4.0</v>
      </c>
      <c r="E39" s="28">
        <v>1.0</v>
      </c>
      <c r="F39" s="28" t="s">
        <v>198</v>
      </c>
    </row>
    <row r="40">
      <c r="A40" s="35"/>
      <c r="B40" s="35"/>
      <c r="C40" s="28" t="s">
        <v>112</v>
      </c>
      <c r="D40" s="81">
        <v>4.0</v>
      </c>
      <c r="E40" s="28">
        <v>1.0</v>
      </c>
      <c r="F40" s="28" t="s">
        <v>198</v>
      </c>
    </row>
    <row r="41">
      <c r="A41" s="35"/>
      <c r="B41" s="35"/>
      <c r="C41" s="28" t="s">
        <v>112</v>
      </c>
      <c r="D41" s="81">
        <v>4.0</v>
      </c>
      <c r="E41" s="28">
        <v>1.0</v>
      </c>
      <c r="F41" s="28" t="s">
        <v>198</v>
      </c>
    </row>
    <row r="42">
      <c r="A42" s="35"/>
      <c r="B42" s="35"/>
      <c r="C42" s="28" t="s">
        <v>112</v>
      </c>
      <c r="D42" s="81">
        <v>3.0</v>
      </c>
      <c r="E42" s="28">
        <v>1.0</v>
      </c>
      <c r="F42" s="28" t="s">
        <v>198</v>
      </c>
    </row>
    <row r="43">
      <c r="A43" s="35"/>
      <c r="B43" s="35"/>
      <c r="C43" s="28" t="s">
        <v>112</v>
      </c>
      <c r="D43" s="81">
        <v>4.0</v>
      </c>
      <c r="E43" s="28">
        <v>1.0</v>
      </c>
      <c r="F43" s="28" t="s">
        <v>198</v>
      </c>
    </row>
    <row r="44">
      <c r="A44" s="35"/>
      <c r="B44" s="35"/>
      <c r="C44" s="28" t="s">
        <v>112</v>
      </c>
      <c r="D44" s="81">
        <v>6.0</v>
      </c>
      <c r="E44" s="28">
        <v>1.0</v>
      </c>
      <c r="F44" s="28" t="s">
        <v>198</v>
      </c>
    </row>
    <row r="45">
      <c r="A45" s="35"/>
      <c r="B45" s="35"/>
      <c r="C45" s="28" t="s">
        <v>112</v>
      </c>
      <c r="D45" s="81">
        <v>4.0</v>
      </c>
      <c r="E45" s="28">
        <v>1.0</v>
      </c>
      <c r="F45" s="28" t="s">
        <v>198</v>
      </c>
    </row>
    <row r="46">
      <c r="A46" s="35"/>
      <c r="B46" s="35"/>
      <c r="C46" s="28" t="s">
        <v>112</v>
      </c>
      <c r="D46" s="81">
        <v>4.0</v>
      </c>
      <c r="E46" s="28">
        <v>1.0</v>
      </c>
      <c r="F46" s="28" t="s">
        <v>198</v>
      </c>
    </row>
    <row r="47">
      <c r="A47" s="35"/>
      <c r="B47" s="35"/>
      <c r="C47" s="28" t="s">
        <v>112</v>
      </c>
      <c r="D47" s="81">
        <v>3.0</v>
      </c>
      <c r="E47" s="28">
        <v>1.0</v>
      </c>
      <c r="F47" s="28" t="s">
        <v>198</v>
      </c>
    </row>
    <row r="48">
      <c r="A48" s="35"/>
      <c r="B48" s="35"/>
      <c r="C48" s="28" t="s">
        <v>112</v>
      </c>
      <c r="D48" s="28">
        <v>5.0</v>
      </c>
      <c r="E48" s="28">
        <v>2.0</v>
      </c>
      <c r="F48" s="28" t="s">
        <v>198</v>
      </c>
    </row>
    <row r="49">
      <c r="A49" s="35"/>
      <c r="B49" s="35"/>
      <c r="C49" s="28" t="s">
        <v>112</v>
      </c>
      <c r="D49" s="28">
        <v>7.0</v>
      </c>
      <c r="E49" s="28">
        <v>1.0</v>
      </c>
      <c r="F49" s="35"/>
    </row>
    <row r="50">
      <c r="A50" s="35"/>
      <c r="B50" s="35"/>
      <c r="C50" s="28" t="s">
        <v>112</v>
      </c>
      <c r="D50" s="28">
        <v>8.0</v>
      </c>
      <c r="E50" s="28">
        <v>1.0</v>
      </c>
      <c r="F50" s="28" t="s">
        <v>198</v>
      </c>
    </row>
    <row r="51">
      <c r="A51" s="35"/>
      <c r="B51" s="35"/>
      <c r="C51" s="28" t="s">
        <v>112</v>
      </c>
      <c r="D51" s="28">
        <v>5.0</v>
      </c>
      <c r="E51" s="28">
        <v>1.0</v>
      </c>
      <c r="F51" s="28" t="s">
        <v>198</v>
      </c>
    </row>
    <row r="52">
      <c r="A52" s="35"/>
      <c r="B52" s="35"/>
      <c r="C52" s="28" t="s">
        <v>112</v>
      </c>
      <c r="D52" s="28">
        <v>10.0</v>
      </c>
      <c r="E52" s="28">
        <v>1.0</v>
      </c>
      <c r="F52" s="28" t="s">
        <v>198</v>
      </c>
    </row>
    <row r="53">
      <c r="A53" s="35"/>
      <c r="B53" s="35">
        <f>count(D38:D53)</f>
        <v>16</v>
      </c>
      <c r="C53" s="28" t="s">
        <v>112</v>
      </c>
      <c r="D53" s="28">
        <v>2.0</v>
      </c>
      <c r="E53" s="28">
        <v>1.0</v>
      </c>
      <c r="F53" s="35"/>
    </row>
    <row r="54">
      <c r="A54" s="28">
        <v>7.0</v>
      </c>
      <c r="B54" s="28">
        <v>9.0</v>
      </c>
      <c r="C54" s="28" t="s">
        <v>112</v>
      </c>
      <c r="D54" s="28">
        <v>31.0</v>
      </c>
      <c r="E54" s="28">
        <v>2.0</v>
      </c>
      <c r="F54" s="28" t="s">
        <v>312</v>
      </c>
    </row>
    <row r="55">
      <c r="A55" s="35"/>
      <c r="B55" s="35"/>
      <c r="C55" s="28" t="s">
        <v>112</v>
      </c>
      <c r="D55" s="28">
        <v>34.0</v>
      </c>
      <c r="E55" s="28">
        <v>1.0</v>
      </c>
      <c r="F55" s="28" t="s">
        <v>312</v>
      </c>
    </row>
    <row r="56">
      <c r="A56" s="35"/>
      <c r="B56" s="35"/>
      <c r="C56" s="28" t="s">
        <v>112</v>
      </c>
      <c r="D56" s="28">
        <v>27.0</v>
      </c>
      <c r="E56" s="28">
        <v>1.0</v>
      </c>
      <c r="F56" s="28" t="s">
        <v>312</v>
      </c>
    </row>
    <row r="57">
      <c r="A57" s="35"/>
      <c r="B57" s="35"/>
      <c r="C57" s="28" t="s">
        <v>112</v>
      </c>
      <c r="D57" s="28">
        <v>9.0</v>
      </c>
      <c r="E57" s="28">
        <v>1.0</v>
      </c>
      <c r="F57" s="28" t="s">
        <v>197</v>
      </c>
    </row>
    <row r="58">
      <c r="A58" s="35"/>
      <c r="B58" s="35"/>
      <c r="C58" s="28" t="s">
        <v>112</v>
      </c>
      <c r="D58" s="28">
        <v>25.0</v>
      </c>
      <c r="E58" s="28">
        <v>1.0</v>
      </c>
      <c r="F58" s="28" t="s">
        <v>312</v>
      </c>
    </row>
    <row r="59">
      <c r="A59" s="35"/>
      <c r="B59" s="35"/>
      <c r="C59" s="28" t="s">
        <v>112</v>
      </c>
      <c r="D59" s="28" t="s">
        <v>202</v>
      </c>
      <c r="E59" s="35"/>
      <c r="F59" s="35"/>
    </row>
    <row r="60">
      <c r="A60" s="35"/>
      <c r="B60" s="35"/>
      <c r="C60" s="28" t="s">
        <v>112</v>
      </c>
      <c r="D60" s="28" t="s">
        <v>202</v>
      </c>
      <c r="E60" s="35"/>
      <c r="F60" s="35"/>
    </row>
    <row r="61">
      <c r="A61" s="35"/>
      <c r="B61" s="35"/>
      <c r="C61" s="28" t="s">
        <v>112</v>
      </c>
      <c r="D61" s="28">
        <v>8.0</v>
      </c>
      <c r="E61" s="28">
        <v>1.0</v>
      </c>
      <c r="F61" s="35"/>
    </row>
    <row r="62">
      <c r="A62" s="35"/>
      <c r="B62" s="35">
        <f>count(D54:D62)</f>
        <v>7</v>
      </c>
      <c r="C62" s="28" t="s">
        <v>112</v>
      </c>
      <c r="D62" s="28">
        <v>7.0</v>
      </c>
      <c r="E62" s="28">
        <v>1.0</v>
      </c>
      <c r="F62" s="35"/>
    </row>
    <row r="63">
      <c r="A63" s="28">
        <v>8.0</v>
      </c>
      <c r="B63" s="28">
        <v>10.0</v>
      </c>
      <c r="C63" s="28" t="s">
        <v>112</v>
      </c>
      <c r="D63" s="28" t="s">
        <v>202</v>
      </c>
      <c r="E63" s="35"/>
      <c r="F63" s="35"/>
    </row>
    <row r="64">
      <c r="A64" s="35"/>
      <c r="B64" s="35"/>
      <c r="C64" s="28" t="s">
        <v>112</v>
      </c>
      <c r="D64" s="28" t="s">
        <v>202</v>
      </c>
      <c r="E64" s="35"/>
      <c r="F64" s="35"/>
    </row>
    <row r="65">
      <c r="A65" s="35"/>
      <c r="B65" s="35"/>
      <c r="C65" s="28" t="s">
        <v>112</v>
      </c>
      <c r="D65" s="28" t="s">
        <v>202</v>
      </c>
      <c r="E65" s="35"/>
      <c r="F65" s="35"/>
    </row>
    <row r="66">
      <c r="A66" s="35"/>
      <c r="B66" s="35"/>
      <c r="C66" s="28" t="s">
        <v>112</v>
      </c>
      <c r="D66" s="28" t="s">
        <v>202</v>
      </c>
      <c r="E66" s="35"/>
      <c r="F66" s="35"/>
    </row>
    <row r="67">
      <c r="A67" s="35"/>
      <c r="B67" s="35"/>
      <c r="C67" s="28" t="s">
        <v>112</v>
      </c>
      <c r="D67" s="28" t="s">
        <v>202</v>
      </c>
      <c r="E67" s="35"/>
      <c r="F67" s="35"/>
    </row>
    <row r="68">
      <c r="A68" s="35"/>
      <c r="B68" s="35"/>
      <c r="C68" s="28" t="s">
        <v>112</v>
      </c>
      <c r="D68" s="28" t="s">
        <v>202</v>
      </c>
      <c r="E68" s="35"/>
      <c r="F68" s="35"/>
    </row>
    <row r="69">
      <c r="A69" s="35"/>
      <c r="B69" s="35"/>
      <c r="C69" s="28" t="s">
        <v>112</v>
      </c>
      <c r="D69" s="28" t="s">
        <v>202</v>
      </c>
      <c r="E69" s="35"/>
      <c r="F69" s="35"/>
    </row>
    <row r="70">
      <c r="A70" s="35"/>
      <c r="B70" s="35"/>
      <c r="C70" s="28" t="s">
        <v>112</v>
      </c>
      <c r="D70" s="28" t="s">
        <v>202</v>
      </c>
      <c r="E70" s="35"/>
      <c r="F70" s="35"/>
    </row>
    <row r="71">
      <c r="A71" s="35"/>
      <c r="B71" s="35"/>
      <c r="C71" s="35"/>
      <c r="D71" s="35"/>
      <c r="E71" s="35"/>
      <c r="F71" s="35"/>
    </row>
    <row r="72">
      <c r="A72" s="35"/>
      <c r="B72" s="35"/>
      <c r="C72" s="35"/>
      <c r="D72" s="35"/>
      <c r="E72" s="35"/>
      <c r="F72" s="35"/>
    </row>
    <row r="73" ht="30.75" customHeight="1">
      <c r="A73" s="36" t="s">
        <v>144</v>
      </c>
      <c r="H73" s="8"/>
      <c r="I73" s="8"/>
      <c r="J73" s="8"/>
    </row>
    <row r="74" ht="30.75" customHeight="1">
      <c r="A74" s="37" t="s">
        <v>263</v>
      </c>
      <c r="B74" s="38"/>
      <c r="C74" s="38"/>
      <c r="D74" s="38"/>
      <c r="E74" s="38"/>
      <c r="F74" s="39"/>
      <c r="H74" s="8"/>
      <c r="I74" s="8"/>
      <c r="J74" s="8"/>
    </row>
    <row r="75" ht="30.75" customHeight="1">
      <c r="A75" s="37" t="s">
        <v>306</v>
      </c>
      <c r="B75" s="38"/>
      <c r="C75" s="38"/>
      <c r="D75" s="38"/>
      <c r="E75" s="38"/>
      <c r="F75" s="39"/>
      <c r="H75" s="8"/>
      <c r="I75" s="8"/>
      <c r="J75" s="8"/>
    </row>
    <row r="76" ht="30.75" customHeight="1">
      <c r="A76" s="40"/>
      <c r="B76" s="41"/>
      <c r="C76" s="41"/>
      <c r="D76" s="41"/>
      <c r="E76" s="41"/>
      <c r="F76" s="42"/>
      <c r="H76" s="8"/>
      <c r="I76" s="8"/>
      <c r="J76" s="8"/>
    </row>
    <row r="77" ht="67.5" customHeight="1">
      <c r="A77" s="43" t="s">
        <v>0</v>
      </c>
      <c r="B77" s="2" t="s">
        <v>313</v>
      </c>
      <c r="C77" s="2" t="s">
        <v>314</v>
      </c>
      <c r="D77" s="2" t="s">
        <v>315</v>
      </c>
      <c r="E77" s="2" t="s">
        <v>316</v>
      </c>
      <c r="F77" s="6" t="s">
        <v>317</v>
      </c>
    </row>
    <row r="78">
      <c r="A78" s="28">
        <v>1.0</v>
      </c>
      <c r="B78" s="28">
        <v>15.0</v>
      </c>
      <c r="C78" s="28" t="s">
        <v>111</v>
      </c>
      <c r="D78" s="28">
        <v>9.0</v>
      </c>
      <c r="E78" s="28">
        <v>3.0</v>
      </c>
      <c r="F78" s="28" t="s">
        <v>199</v>
      </c>
    </row>
    <row r="79">
      <c r="A79" s="35"/>
      <c r="B79" s="35"/>
      <c r="C79" s="28" t="s">
        <v>111</v>
      </c>
      <c r="D79" s="28">
        <v>6.0</v>
      </c>
      <c r="E79" s="28">
        <v>3.0</v>
      </c>
      <c r="F79" s="35"/>
    </row>
    <row r="80">
      <c r="A80" s="35"/>
      <c r="B80" s="35"/>
      <c r="C80" s="28" t="s">
        <v>111</v>
      </c>
      <c r="D80" s="28">
        <v>6.0</v>
      </c>
      <c r="E80" s="28">
        <v>3.0</v>
      </c>
      <c r="F80" s="28" t="s">
        <v>199</v>
      </c>
    </row>
    <row r="81">
      <c r="A81" s="35"/>
      <c r="B81" s="35"/>
      <c r="C81" s="28" t="s">
        <v>111</v>
      </c>
      <c r="D81" s="28">
        <v>6.0</v>
      </c>
      <c r="E81" s="28">
        <v>3.0</v>
      </c>
      <c r="F81" s="35"/>
    </row>
    <row r="82">
      <c r="A82" s="35"/>
      <c r="B82" s="35"/>
      <c r="C82" s="28" t="s">
        <v>111</v>
      </c>
      <c r="D82" s="28">
        <v>3.0</v>
      </c>
      <c r="E82" s="28">
        <v>1.0</v>
      </c>
      <c r="F82" s="35"/>
    </row>
    <row r="83">
      <c r="A83" s="35"/>
      <c r="B83" s="35"/>
      <c r="C83" s="28" t="s">
        <v>111</v>
      </c>
      <c r="D83" s="28">
        <v>5.0</v>
      </c>
      <c r="E83" s="28">
        <v>2.0</v>
      </c>
      <c r="F83" s="35"/>
    </row>
    <row r="84">
      <c r="A84" s="35"/>
      <c r="B84" s="35"/>
      <c r="C84" s="28" t="s">
        <v>111</v>
      </c>
      <c r="D84" s="28">
        <v>8.0</v>
      </c>
      <c r="E84" s="28">
        <v>2.0</v>
      </c>
      <c r="F84" s="35"/>
    </row>
    <row r="85">
      <c r="A85" s="35"/>
      <c r="B85" s="35"/>
      <c r="C85" s="28" t="s">
        <v>111</v>
      </c>
      <c r="D85" s="28">
        <v>5.0</v>
      </c>
      <c r="E85" s="28">
        <v>4.0</v>
      </c>
      <c r="F85" s="35"/>
    </row>
    <row r="86">
      <c r="A86" s="35"/>
      <c r="B86" s="35"/>
      <c r="C86" s="28" t="s">
        <v>111</v>
      </c>
      <c r="D86" s="28">
        <v>3.0</v>
      </c>
      <c r="E86" s="28">
        <v>1.0</v>
      </c>
      <c r="F86" s="35"/>
    </row>
    <row r="87">
      <c r="A87" s="35"/>
      <c r="B87" s="35"/>
      <c r="C87" s="28" t="s">
        <v>111</v>
      </c>
      <c r="D87" s="28">
        <v>5.0</v>
      </c>
      <c r="E87" s="28">
        <v>2.0</v>
      </c>
      <c r="F87" s="35"/>
    </row>
    <row r="88">
      <c r="A88" s="35"/>
      <c r="B88" s="35"/>
      <c r="C88" s="28" t="s">
        <v>111</v>
      </c>
      <c r="D88" s="28">
        <v>6.0</v>
      </c>
      <c r="E88" s="28">
        <v>3.0</v>
      </c>
      <c r="F88" s="28" t="s">
        <v>198</v>
      </c>
    </row>
    <row r="89">
      <c r="A89" s="35"/>
      <c r="B89" s="35"/>
      <c r="C89" s="28" t="s">
        <v>111</v>
      </c>
      <c r="D89" s="28">
        <v>7.0</v>
      </c>
      <c r="E89" s="28">
        <v>2.0</v>
      </c>
      <c r="F89" s="35"/>
    </row>
    <row r="90">
      <c r="A90" s="35"/>
      <c r="B90" s="35"/>
      <c r="C90" s="28" t="s">
        <v>111</v>
      </c>
      <c r="D90" s="28">
        <v>3.0</v>
      </c>
      <c r="E90" s="28">
        <v>3.0</v>
      </c>
      <c r="F90" s="35"/>
    </row>
    <row r="91">
      <c r="A91" s="35"/>
      <c r="B91" s="35">
        <f>count(D78:D91)</f>
        <v>14</v>
      </c>
      <c r="C91" s="28" t="s">
        <v>111</v>
      </c>
      <c r="D91" s="28">
        <v>6.0</v>
      </c>
      <c r="E91" s="28">
        <v>3.0</v>
      </c>
      <c r="F91" s="28" t="s">
        <v>197</v>
      </c>
    </row>
    <row r="92">
      <c r="A92" s="28">
        <v>2.0</v>
      </c>
      <c r="B92" s="28">
        <v>15.0</v>
      </c>
      <c r="C92" s="28" t="s">
        <v>111</v>
      </c>
      <c r="D92" s="28" t="s">
        <v>202</v>
      </c>
      <c r="E92" s="35"/>
      <c r="F92" s="35"/>
    </row>
    <row r="93">
      <c r="A93" s="35"/>
      <c r="B93" s="35"/>
      <c r="C93" s="28" t="s">
        <v>111</v>
      </c>
      <c r="D93" s="28" t="s">
        <v>202</v>
      </c>
      <c r="E93" s="35"/>
      <c r="F93" s="35"/>
    </row>
    <row r="94">
      <c r="A94" s="35"/>
      <c r="B94" s="35"/>
      <c r="C94" s="28" t="s">
        <v>111</v>
      </c>
      <c r="D94" s="28">
        <v>2.0</v>
      </c>
      <c r="E94" s="28">
        <v>1.0</v>
      </c>
      <c r="F94" s="28" t="s">
        <v>197</v>
      </c>
    </row>
    <row r="95">
      <c r="A95" s="35"/>
      <c r="B95" s="35"/>
      <c r="C95" s="28" t="s">
        <v>111</v>
      </c>
      <c r="D95" s="28">
        <v>5.0</v>
      </c>
      <c r="E95" s="28">
        <v>1.0</v>
      </c>
      <c r="F95" s="35"/>
    </row>
    <row r="96">
      <c r="A96" s="35"/>
      <c r="B96" s="35"/>
      <c r="C96" s="28" t="s">
        <v>111</v>
      </c>
      <c r="D96" s="28">
        <v>8.0</v>
      </c>
      <c r="E96" s="28">
        <v>4.0</v>
      </c>
      <c r="F96" s="28" t="s">
        <v>199</v>
      </c>
    </row>
    <row r="97">
      <c r="A97" s="35"/>
      <c r="B97" s="35">
        <f>count(D92:D97)</f>
        <v>4</v>
      </c>
      <c r="C97" s="28" t="s">
        <v>111</v>
      </c>
      <c r="D97" s="28">
        <v>3.0</v>
      </c>
      <c r="E97" s="28">
        <v>1.0</v>
      </c>
      <c r="F97" s="35"/>
    </row>
    <row r="98">
      <c r="A98" s="28">
        <v>7.0</v>
      </c>
      <c r="B98" s="28">
        <v>13.0</v>
      </c>
      <c r="C98" s="28" t="s">
        <v>111</v>
      </c>
      <c r="D98" s="28" t="s">
        <v>202</v>
      </c>
      <c r="E98" s="35"/>
      <c r="F98" s="35"/>
    </row>
    <row r="99">
      <c r="A99" s="35"/>
      <c r="B99" s="35"/>
      <c r="C99" s="28" t="s">
        <v>111</v>
      </c>
      <c r="D99" s="28">
        <v>15.0</v>
      </c>
      <c r="E99" s="28">
        <v>4.0</v>
      </c>
      <c r="F99" s="28" t="s">
        <v>198</v>
      </c>
    </row>
    <row r="100">
      <c r="A100" s="35"/>
      <c r="B100" s="35"/>
      <c r="C100" s="28" t="s">
        <v>111</v>
      </c>
      <c r="D100" s="28">
        <v>6.0</v>
      </c>
      <c r="E100" s="28">
        <v>3.0</v>
      </c>
      <c r="F100" s="28" t="s">
        <v>199</v>
      </c>
    </row>
    <row r="101">
      <c r="A101" s="35"/>
      <c r="B101" s="35"/>
      <c r="C101" s="28" t="s">
        <v>111</v>
      </c>
      <c r="D101" s="28" t="s">
        <v>202</v>
      </c>
      <c r="E101" s="35"/>
      <c r="F101" s="35"/>
    </row>
    <row r="102">
      <c r="A102" s="35"/>
      <c r="B102" s="35"/>
      <c r="C102" s="28" t="s">
        <v>111</v>
      </c>
      <c r="D102" s="28">
        <v>13.0</v>
      </c>
      <c r="E102" s="28">
        <v>2.0</v>
      </c>
      <c r="F102" s="28" t="s">
        <v>198</v>
      </c>
    </row>
    <row r="103">
      <c r="A103" s="35"/>
      <c r="B103" s="35"/>
      <c r="C103" s="28" t="s">
        <v>111</v>
      </c>
      <c r="D103" s="28" t="s">
        <v>202</v>
      </c>
      <c r="E103" s="35"/>
      <c r="F103" s="35"/>
    </row>
    <row r="104">
      <c r="A104" s="35"/>
      <c r="B104" s="35"/>
      <c r="C104" s="28" t="s">
        <v>111</v>
      </c>
      <c r="D104" s="28">
        <v>8.0</v>
      </c>
      <c r="E104" s="28">
        <v>3.0</v>
      </c>
      <c r="F104" s="28" t="s">
        <v>199</v>
      </c>
    </row>
    <row r="105">
      <c r="A105" s="35"/>
      <c r="B105" s="35"/>
      <c r="C105" s="28" t="s">
        <v>111</v>
      </c>
      <c r="D105" s="28">
        <v>7.0</v>
      </c>
      <c r="E105" s="28">
        <v>3.0</v>
      </c>
      <c r="F105" s="28" t="s">
        <v>199</v>
      </c>
    </row>
    <row r="106">
      <c r="A106" s="35"/>
      <c r="B106" s="35"/>
      <c r="C106" s="28" t="s">
        <v>111</v>
      </c>
      <c r="D106" s="28">
        <v>5.0</v>
      </c>
      <c r="E106" s="28">
        <v>3.0</v>
      </c>
      <c r="F106" s="28" t="s">
        <v>199</v>
      </c>
    </row>
    <row r="107">
      <c r="A107" s="35"/>
      <c r="B107" s="35"/>
      <c r="C107" s="28" t="s">
        <v>111</v>
      </c>
      <c r="D107" s="28">
        <v>9.0</v>
      </c>
      <c r="E107" s="28">
        <v>3.0</v>
      </c>
      <c r="F107" s="28" t="s">
        <v>199</v>
      </c>
    </row>
    <row r="108">
      <c r="A108" s="35"/>
      <c r="B108" s="35"/>
      <c r="C108" s="28" t="s">
        <v>111</v>
      </c>
      <c r="D108" s="28">
        <v>8.0</v>
      </c>
      <c r="E108" s="28">
        <v>2.0</v>
      </c>
      <c r="F108" s="28" t="s">
        <v>199</v>
      </c>
    </row>
    <row r="109">
      <c r="A109" s="35"/>
      <c r="B109" s="35"/>
      <c r="C109" s="28" t="s">
        <v>111</v>
      </c>
      <c r="D109" s="28">
        <v>9.0</v>
      </c>
      <c r="E109" s="28">
        <v>4.0</v>
      </c>
      <c r="F109" s="28" t="s">
        <v>198</v>
      </c>
    </row>
    <row r="110">
      <c r="A110" s="35"/>
      <c r="B110" s="35">
        <f>count(D98:D110)</f>
        <v>10</v>
      </c>
      <c r="C110" s="28" t="s">
        <v>111</v>
      </c>
      <c r="D110" s="28">
        <v>9.0</v>
      </c>
      <c r="E110" s="28">
        <v>3.0</v>
      </c>
      <c r="F110" s="28" t="s">
        <v>199</v>
      </c>
    </row>
    <row r="111">
      <c r="A111" s="28">
        <v>8.0</v>
      </c>
      <c r="B111" s="28">
        <v>25.0</v>
      </c>
      <c r="C111" s="28" t="s">
        <v>111</v>
      </c>
      <c r="D111" s="28">
        <v>6.0</v>
      </c>
      <c r="E111" s="28">
        <v>3.0</v>
      </c>
      <c r="F111" s="28" t="s">
        <v>199</v>
      </c>
    </row>
    <row r="112">
      <c r="A112" s="35"/>
      <c r="B112" s="35"/>
      <c r="C112" s="28" t="s">
        <v>111</v>
      </c>
      <c r="D112" s="28">
        <v>10.0</v>
      </c>
      <c r="E112" s="28">
        <v>5.0</v>
      </c>
      <c r="F112" s="28" t="s">
        <v>198</v>
      </c>
    </row>
    <row r="113">
      <c r="A113" s="35"/>
      <c r="B113" s="35"/>
      <c r="C113" s="28" t="s">
        <v>111</v>
      </c>
      <c r="D113" s="28" t="s">
        <v>202</v>
      </c>
      <c r="E113" s="35"/>
      <c r="F113" s="35"/>
    </row>
    <row r="114">
      <c r="A114" s="35"/>
      <c r="B114" s="35"/>
      <c r="C114" s="28" t="s">
        <v>111</v>
      </c>
      <c r="D114" s="28">
        <v>9.0</v>
      </c>
      <c r="E114" s="28">
        <v>2.0</v>
      </c>
      <c r="F114" s="28" t="s">
        <v>198</v>
      </c>
    </row>
    <row r="115">
      <c r="A115" s="35"/>
      <c r="B115" s="35"/>
      <c r="C115" s="28" t="s">
        <v>111</v>
      </c>
      <c r="D115" s="28">
        <v>13.0</v>
      </c>
      <c r="E115" s="28">
        <v>3.0</v>
      </c>
      <c r="F115" s="28" t="s">
        <v>198</v>
      </c>
    </row>
    <row r="116">
      <c r="A116" s="35"/>
      <c r="B116" s="35"/>
      <c r="C116" s="28" t="s">
        <v>111</v>
      </c>
      <c r="D116" s="28">
        <v>4.0</v>
      </c>
      <c r="E116" s="28">
        <v>1.0</v>
      </c>
      <c r="F116" s="35"/>
    </row>
    <row r="117">
      <c r="A117" s="35"/>
      <c r="B117" s="35"/>
      <c r="C117" s="28" t="s">
        <v>111</v>
      </c>
      <c r="D117" s="28" t="s">
        <v>202</v>
      </c>
      <c r="E117" s="35"/>
      <c r="F117" s="35"/>
    </row>
    <row r="118">
      <c r="A118" s="35"/>
      <c r="B118" s="35"/>
      <c r="C118" s="28" t="s">
        <v>111</v>
      </c>
      <c r="D118" s="28" t="s">
        <v>202</v>
      </c>
      <c r="E118" s="35"/>
      <c r="F118" s="35"/>
    </row>
    <row r="119">
      <c r="A119" s="35"/>
      <c r="B119" s="35"/>
      <c r="C119" s="28" t="s">
        <v>111</v>
      </c>
      <c r="D119" s="28">
        <v>8.0</v>
      </c>
      <c r="E119" s="28">
        <v>3.0</v>
      </c>
      <c r="F119" s="28" t="s">
        <v>199</v>
      </c>
    </row>
    <row r="120">
      <c r="A120" s="35"/>
      <c r="B120" s="35"/>
      <c r="C120" s="28" t="s">
        <v>111</v>
      </c>
      <c r="D120" s="28">
        <v>5.0</v>
      </c>
      <c r="E120" s="28">
        <v>2.0</v>
      </c>
      <c r="F120" s="35"/>
    </row>
    <row r="121">
      <c r="A121" s="35"/>
      <c r="B121" s="35"/>
      <c r="C121" s="28" t="s">
        <v>111</v>
      </c>
      <c r="D121" s="28">
        <v>9.0</v>
      </c>
      <c r="E121" s="28">
        <v>3.0</v>
      </c>
      <c r="F121" s="35"/>
    </row>
    <row r="122">
      <c r="A122" s="35"/>
      <c r="B122" s="35"/>
      <c r="C122" s="28" t="s">
        <v>111</v>
      </c>
      <c r="D122" s="28" t="s">
        <v>202</v>
      </c>
      <c r="E122" s="35"/>
      <c r="F122" s="35"/>
    </row>
    <row r="123">
      <c r="A123" s="35"/>
      <c r="B123" s="35"/>
      <c r="C123" s="28" t="s">
        <v>111</v>
      </c>
      <c r="D123" s="28">
        <v>9.0</v>
      </c>
      <c r="E123" s="28">
        <v>2.0</v>
      </c>
      <c r="F123" s="28" t="s">
        <v>198</v>
      </c>
    </row>
    <row r="124">
      <c r="A124" s="35"/>
      <c r="B124" s="35"/>
      <c r="C124" s="28" t="s">
        <v>111</v>
      </c>
      <c r="D124" s="28">
        <v>8.0</v>
      </c>
      <c r="E124" s="28">
        <v>3.0</v>
      </c>
      <c r="F124" s="28" t="s">
        <v>198</v>
      </c>
    </row>
    <row r="125">
      <c r="A125" s="35"/>
      <c r="B125" s="35"/>
      <c r="C125" s="28" t="s">
        <v>111</v>
      </c>
      <c r="D125" s="28" t="s">
        <v>202</v>
      </c>
      <c r="E125" s="35"/>
      <c r="F125" s="35"/>
    </row>
    <row r="126">
      <c r="A126" s="35"/>
      <c r="B126" s="35"/>
      <c r="C126" s="28" t="s">
        <v>111</v>
      </c>
      <c r="D126" s="28" t="s">
        <v>202</v>
      </c>
      <c r="E126" s="35"/>
      <c r="F126" s="35"/>
    </row>
    <row r="127">
      <c r="A127" s="35"/>
      <c r="B127" s="35"/>
      <c r="C127" s="28" t="s">
        <v>111</v>
      </c>
      <c r="D127" s="28">
        <v>6.0</v>
      </c>
      <c r="E127" s="28">
        <v>3.0</v>
      </c>
      <c r="F127" s="28" t="s">
        <v>199</v>
      </c>
    </row>
    <row r="128">
      <c r="A128" s="35"/>
      <c r="B128" s="35"/>
      <c r="C128" s="28" t="s">
        <v>111</v>
      </c>
      <c r="D128" s="28">
        <v>4.0</v>
      </c>
      <c r="E128" s="28">
        <v>3.0</v>
      </c>
      <c r="F128" s="28" t="s">
        <v>199</v>
      </c>
    </row>
    <row r="129">
      <c r="A129" s="35"/>
      <c r="B129" s="35"/>
      <c r="C129" s="28" t="s">
        <v>111</v>
      </c>
      <c r="D129" s="28">
        <v>4.0</v>
      </c>
      <c r="E129" s="28">
        <v>2.0</v>
      </c>
      <c r="F129" s="28" t="s">
        <v>199</v>
      </c>
    </row>
    <row r="130">
      <c r="A130" s="35"/>
      <c r="B130" s="35"/>
      <c r="C130" s="28" t="s">
        <v>111</v>
      </c>
      <c r="D130" s="28">
        <v>5.0</v>
      </c>
      <c r="E130" s="28">
        <v>1.0</v>
      </c>
      <c r="F130" s="28" t="s">
        <v>198</v>
      </c>
    </row>
    <row r="131">
      <c r="A131" s="35"/>
      <c r="B131" s="35"/>
      <c r="C131" s="28" t="s">
        <v>111</v>
      </c>
      <c r="D131" s="28">
        <v>6.0</v>
      </c>
      <c r="E131" s="28">
        <v>2.0</v>
      </c>
      <c r="F131" s="35"/>
    </row>
    <row r="132">
      <c r="A132" s="35"/>
      <c r="B132" s="35"/>
      <c r="C132" s="28" t="s">
        <v>111</v>
      </c>
      <c r="D132" s="28">
        <v>6.0</v>
      </c>
      <c r="E132" s="28">
        <v>3.0</v>
      </c>
      <c r="F132" s="28" t="s">
        <v>199</v>
      </c>
    </row>
    <row r="133">
      <c r="A133" s="35"/>
      <c r="B133" s="35"/>
      <c r="C133" s="28" t="s">
        <v>111</v>
      </c>
      <c r="D133" s="28" t="s">
        <v>202</v>
      </c>
      <c r="E133" s="35"/>
      <c r="F133" s="35"/>
    </row>
    <row r="134">
      <c r="A134" s="35"/>
      <c r="B134" s="35"/>
      <c r="C134" s="28" t="s">
        <v>111</v>
      </c>
      <c r="D134" s="28" t="s">
        <v>202</v>
      </c>
      <c r="E134" s="35"/>
      <c r="F134" s="35"/>
    </row>
    <row r="135">
      <c r="A135" s="35"/>
      <c r="B135" s="35">
        <f>count(D111:D135)</f>
        <v>16</v>
      </c>
      <c r="C135" s="28" t="s">
        <v>111</v>
      </c>
      <c r="D135" s="28" t="s">
        <v>202</v>
      </c>
      <c r="E135" s="35"/>
      <c r="F135" s="35"/>
    </row>
    <row r="136">
      <c r="A136" s="35"/>
      <c r="B136" s="35"/>
      <c r="C136" s="35"/>
      <c r="D136" s="28"/>
      <c r="E136" s="35"/>
      <c r="F136" s="35"/>
    </row>
    <row r="137">
      <c r="A137" s="35"/>
      <c r="B137" s="35"/>
      <c r="C137" s="35"/>
      <c r="D137" s="28"/>
      <c r="E137" s="35"/>
      <c r="F137" s="35"/>
    </row>
    <row r="138" ht="32.25" customHeight="1">
      <c r="A138" s="37" t="s">
        <v>144</v>
      </c>
      <c r="B138" s="38"/>
      <c r="C138" s="38"/>
      <c r="D138" s="38"/>
      <c r="E138" s="38"/>
      <c r="F138" s="39"/>
    </row>
    <row r="139" ht="32.25" customHeight="1">
      <c r="A139" s="37" t="s">
        <v>282</v>
      </c>
      <c r="B139" s="38"/>
      <c r="C139" s="38"/>
      <c r="D139" s="38"/>
      <c r="E139" s="38"/>
      <c r="F139" s="39"/>
    </row>
    <row r="140" ht="32.25" customHeight="1">
      <c r="A140" s="37" t="s">
        <v>306</v>
      </c>
      <c r="B140" s="38"/>
      <c r="C140" s="38"/>
      <c r="D140" s="38"/>
      <c r="E140" s="38"/>
      <c r="F140" s="39"/>
    </row>
    <row r="141">
      <c r="A141" s="40"/>
      <c r="B141" s="41"/>
      <c r="C141" s="41"/>
      <c r="D141" s="41"/>
      <c r="E141" s="41"/>
      <c r="F141" s="42"/>
    </row>
    <row r="142">
      <c r="A142" s="43" t="s">
        <v>0</v>
      </c>
      <c r="B142" s="2" t="s">
        <v>318</v>
      </c>
      <c r="C142" s="2" t="s">
        <v>319</v>
      </c>
      <c r="D142" s="2" t="s">
        <v>320</v>
      </c>
      <c r="E142" s="2" t="s">
        <v>321</v>
      </c>
      <c r="F142" s="6" t="s">
        <v>322</v>
      </c>
    </row>
    <row r="143">
      <c r="A143" s="28">
        <v>3.0</v>
      </c>
      <c r="B143" s="28">
        <v>48.0</v>
      </c>
      <c r="C143" s="28" t="s">
        <v>113</v>
      </c>
      <c r="D143" s="28">
        <v>2.0</v>
      </c>
      <c r="E143" s="28">
        <v>1.0</v>
      </c>
      <c r="F143" s="35"/>
    </row>
    <row r="144">
      <c r="A144" s="35"/>
      <c r="B144" s="35"/>
      <c r="C144" s="28" t="s">
        <v>113</v>
      </c>
      <c r="D144" s="28">
        <v>2.0</v>
      </c>
      <c r="E144" s="28">
        <v>1.0</v>
      </c>
      <c r="F144" s="35"/>
    </row>
    <row r="145">
      <c r="A145" s="35"/>
      <c r="B145" s="35"/>
      <c r="C145" s="28" t="s">
        <v>113</v>
      </c>
      <c r="D145" s="28">
        <v>3.0</v>
      </c>
      <c r="E145" s="28">
        <v>1.0</v>
      </c>
      <c r="F145" s="35"/>
    </row>
    <row r="146">
      <c r="A146" s="35"/>
      <c r="B146" s="35"/>
      <c r="C146" s="28" t="s">
        <v>113</v>
      </c>
      <c r="D146" s="28">
        <v>1.0</v>
      </c>
      <c r="E146" s="28">
        <v>1.0</v>
      </c>
      <c r="F146" s="35"/>
    </row>
    <row r="147">
      <c r="A147" s="35"/>
      <c r="B147" s="35"/>
      <c r="C147" s="28" t="s">
        <v>113</v>
      </c>
      <c r="D147" s="28">
        <v>2.0</v>
      </c>
      <c r="E147" s="28">
        <v>1.0</v>
      </c>
      <c r="F147" s="35"/>
    </row>
    <row r="148">
      <c r="A148" s="35"/>
      <c r="B148" s="35"/>
      <c r="C148" s="28" t="s">
        <v>113</v>
      </c>
      <c r="D148" s="28">
        <v>3.0</v>
      </c>
      <c r="E148" s="28">
        <v>1.0</v>
      </c>
      <c r="F148" s="28" t="s">
        <v>198</v>
      </c>
    </row>
    <row r="149">
      <c r="A149" s="35"/>
      <c r="B149" s="35"/>
      <c r="C149" s="28" t="s">
        <v>113</v>
      </c>
      <c r="D149" s="28">
        <v>6.0</v>
      </c>
      <c r="E149" s="28">
        <v>1.0</v>
      </c>
      <c r="F149" s="28" t="s">
        <v>198</v>
      </c>
    </row>
    <row r="150">
      <c r="A150" s="28">
        <v>4.0</v>
      </c>
      <c r="B150" s="28">
        <v>49.0</v>
      </c>
      <c r="C150" s="28" t="s">
        <v>113</v>
      </c>
      <c r="D150" s="28">
        <v>5.0</v>
      </c>
      <c r="E150" s="28">
        <v>1.0</v>
      </c>
      <c r="F150" s="28" t="s">
        <v>198</v>
      </c>
    </row>
    <row r="151">
      <c r="A151" s="35"/>
      <c r="B151" s="35"/>
      <c r="C151" s="28" t="s">
        <v>113</v>
      </c>
      <c r="D151" s="28">
        <v>3.0</v>
      </c>
      <c r="E151" s="28">
        <v>1.0</v>
      </c>
      <c r="F151" s="28" t="s">
        <v>198</v>
      </c>
    </row>
    <row r="152">
      <c r="A152" s="35"/>
      <c r="B152" s="35"/>
      <c r="C152" s="28" t="s">
        <v>113</v>
      </c>
      <c r="D152" s="28">
        <v>2.0</v>
      </c>
      <c r="E152" s="28">
        <v>1.0</v>
      </c>
      <c r="F152" s="28" t="s">
        <v>197</v>
      </c>
    </row>
    <row r="153">
      <c r="A153" s="35"/>
      <c r="B153" s="35"/>
      <c r="C153" s="28" t="s">
        <v>113</v>
      </c>
      <c r="D153" s="28">
        <v>3.0</v>
      </c>
      <c r="E153" s="28">
        <v>1.0</v>
      </c>
      <c r="F153" s="28" t="s">
        <v>197</v>
      </c>
    </row>
    <row r="154">
      <c r="A154" s="35"/>
      <c r="B154" s="35"/>
      <c r="C154" s="28" t="s">
        <v>113</v>
      </c>
      <c r="D154" s="28">
        <v>4.0</v>
      </c>
      <c r="E154" s="28">
        <v>1.0</v>
      </c>
      <c r="F154" s="28" t="s">
        <v>197</v>
      </c>
    </row>
    <row r="155">
      <c r="A155" s="35"/>
      <c r="B155" s="35"/>
      <c r="C155" s="28" t="s">
        <v>113</v>
      </c>
      <c r="D155" s="28">
        <v>4.0</v>
      </c>
      <c r="E155" s="28">
        <v>1.0</v>
      </c>
      <c r="F155" s="28" t="s">
        <v>197</v>
      </c>
    </row>
    <row r="156">
      <c r="A156" s="35"/>
      <c r="B156" s="35"/>
      <c r="C156" s="28" t="s">
        <v>113</v>
      </c>
      <c r="D156" s="28">
        <v>4.0</v>
      </c>
      <c r="E156" s="28">
        <v>1.0</v>
      </c>
      <c r="F156" s="28" t="s">
        <v>197</v>
      </c>
    </row>
    <row r="157">
      <c r="A157" s="35"/>
      <c r="B157" s="35"/>
      <c r="C157" s="28" t="s">
        <v>113</v>
      </c>
      <c r="D157" s="28">
        <v>3.0</v>
      </c>
      <c r="E157" s="28">
        <v>1.0</v>
      </c>
      <c r="F157" s="28" t="s">
        <v>198</v>
      </c>
    </row>
    <row r="158">
      <c r="A158" s="35"/>
      <c r="B158" s="35"/>
      <c r="C158" s="28" t="s">
        <v>113</v>
      </c>
      <c r="D158" s="28">
        <v>5.0</v>
      </c>
      <c r="E158" s="28">
        <v>2.0</v>
      </c>
      <c r="F158" s="28" t="s">
        <v>197</v>
      </c>
    </row>
    <row r="159">
      <c r="A159" s="35"/>
      <c r="B159" s="35"/>
      <c r="C159" s="28" t="s">
        <v>113</v>
      </c>
      <c r="D159" s="28">
        <v>4.0</v>
      </c>
      <c r="E159" s="28">
        <v>1.0</v>
      </c>
      <c r="F159" s="28" t="s">
        <v>197</v>
      </c>
    </row>
    <row r="160">
      <c r="A160" s="35"/>
      <c r="B160" s="35"/>
      <c r="C160" s="28" t="s">
        <v>113</v>
      </c>
      <c r="D160" s="28">
        <v>3.0</v>
      </c>
      <c r="E160" s="28">
        <v>1.0</v>
      </c>
      <c r="F160" s="28" t="s">
        <v>197</v>
      </c>
    </row>
    <row r="161">
      <c r="A161" s="35"/>
      <c r="B161" s="35"/>
      <c r="C161" s="28" t="s">
        <v>113</v>
      </c>
      <c r="D161" s="28">
        <v>3.0</v>
      </c>
      <c r="E161" s="28">
        <v>1.0</v>
      </c>
      <c r="F161" s="35"/>
    </row>
    <row r="162">
      <c r="A162" s="35"/>
      <c r="B162" s="35"/>
      <c r="C162" s="28" t="s">
        <v>113</v>
      </c>
      <c r="D162" s="28">
        <v>3.0</v>
      </c>
      <c r="E162" s="28">
        <v>4.0</v>
      </c>
      <c r="F162" s="28" t="s">
        <v>197</v>
      </c>
    </row>
    <row r="163">
      <c r="A163" s="35"/>
      <c r="B163" s="35"/>
      <c r="C163" s="28" t="s">
        <v>113</v>
      </c>
      <c r="D163" s="28">
        <v>3.0</v>
      </c>
      <c r="E163" s="28">
        <v>2.0</v>
      </c>
      <c r="F163" s="28" t="s">
        <v>197</v>
      </c>
    </row>
    <row r="164">
      <c r="A164" s="35"/>
      <c r="B164" s="35"/>
      <c r="C164" s="28" t="s">
        <v>113</v>
      </c>
      <c r="D164" s="28">
        <v>3.0</v>
      </c>
      <c r="E164" s="28">
        <v>2.0</v>
      </c>
      <c r="F164" s="28" t="s">
        <v>197</v>
      </c>
    </row>
    <row r="165">
      <c r="A165" s="35"/>
      <c r="B165" s="35"/>
      <c r="C165" s="28" t="s">
        <v>113</v>
      </c>
      <c r="D165" s="28">
        <v>3.0</v>
      </c>
      <c r="E165" s="28">
        <v>2.0</v>
      </c>
      <c r="F165" s="28" t="s">
        <v>199</v>
      </c>
    </row>
    <row r="166">
      <c r="A166" s="35"/>
      <c r="B166" s="35"/>
      <c r="C166" s="28" t="s">
        <v>113</v>
      </c>
      <c r="D166" s="28">
        <v>3.0</v>
      </c>
      <c r="E166" s="28">
        <v>1.0</v>
      </c>
      <c r="F166" s="35"/>
    </row>
    <row r="167">
      <c r="A167" s="35"/>
      <c r="B167" s="35"/>
      <c r="C167" s="28" t="s">
        <v>113</v>
      </c>
      <c r="D167" s="28">
        <v>2.0</v>
      </c>
      <c r="E167" s="28">
        <v>1.0</v>
      </c>
      <c r="F167" s="35"/>
    </row>
    <row r="168">
      <c r="A168" s="35"/>
      <c r="B168" s="35"/>
      <c r="C168" s="28" t="s">
        <v>113</v>
      </c>
      <c r="D168" s="28">
        <v>5.0</v>
      </c>
      <c r="E168" s="28">
        <v>1.0</v>
      </c>
      <c r="F168" s="28" t="s">
        <v>197</v>
      </c>
    </row>
    <row r="169">
      <c r="A169" s="35"/>
      <c r="B169" s="35"/>
      <c r="C169" s="28" t="s">
        <v>113</v>
      </c>
      <c r="D169" s="28">
        <v>6.0</v>
      </c>
      <c r="E169" s="28">
        <v>1.0</v>
      </c>
      <c r="F169" s="28" t="s">
        <v>199</v>
      </c>
    </row>
    <row r="170">
      <c r="A170" s="35"/>
      <c r="B170" s="35"/>
      <c r="C170" s="28" t="s">
        <v>113</v>
      </c>
      <c r="D170" s="28">
        <v>4.0</v>
      </c>
      <c r="E170" s="28">
        <v>2.0</v>
      </c>
      <c r="F170" s="28" t="s">
        <v>199</v>
      </c>
    </row>
    <row r="171">
      <c r="A171" s="28">
        <v>1.0</v>
      </c>
      <c r="B171" s="28">
        <v>15.0</v>
      </c>
      <c r="C171" s="28" t="s">
        <v>113</v>
      </c>
      <c r="D171" s="28">
        <v>4.0</v>
      </c>
      <c r="E171" s="28">
        <v>1.0</v>
      </c>
      <c r="F171" s="28" t="s">
        <v>199</v>
      </c>
    </row>
    <row r="172">
      <c r="A172" s="35"/>
      <c r="B172" s="35"/>
      <c r="C172" s="28" t="s">
        <v>113</v>
      </c>
      <c r="D172" s="28">
        <v>4.0</v>
      </c>
      <c r="E172" s="28">
        <v>2.0</v>
      </c>
      <c r="F172" s="28" t="s">
        <v>199</v>
      </c>
    </row>
    <row r="173">
      <c r="A173" s="35"/>
      <c r="B173" s="35"/>
      <c r="C173" s="28" t="s">
        <v>113</v>
      </c>
      <c r="D173" s="28">
        <v>6.0</v>
      </c>
      <c r="E173" s="28">
        <v>1.0</v>
      </c>
      <c r="F173" s="28" t="s">
        <v>199</v>
      </c>
    </row>
    <row r="174">
      <c r="A174" s="35"/>
      <c r="B174" s="35"/>
      <c r="C174" s="28" t="s">
        <v>113</v>
      </c>
      <c r="D174" s="28">
        <v>3.0</v>
      </c>
      <c r="E174" s="28">
        <v>1.0</v>
      </c>
      <c r="F174" s="28" t="s">
        <v>197</v>
      </c>
    </row>
    <row r="175">
      <c r="A175" s="28">
        <v>2.0</v>
      </c>
      <c r="B175" s="28">
        <v>10.0</v>
      </c>
      <c r="C175" s="28" t="s">
        <v>113</v>
      </c>
      <c r="D175" s="28">
        <v>6.0</v>
      </c>
      <c r="E175" s="28">
        <v>1.0</v>
      </c>
      <c r="F175" s="28" t="s">
        <v>199</v>
      </c>
    </row>
    <row r="176">
      <c r="A176" s="28">
        <v>5.0</v>
      </c>
      <c r="B176" s="28">
        <v>9.0</v>
      </c>
      <c r="C176" s="28" t="s">
        <v>113</v>
      </c>
      <c r="D176" s="28">
        <v>2.0</v>
      </c>
      <c r="E176" s="28">
        <v>1.0</v>
      </c>
      <c r="F176" s="35"/>
    </row>
    <row r="177">
      <c r="A177" s="35"/>
      <c r="B177" s="35"/>
      <c r="C177" s="28" t="s">
        <v>113</v>
      </c>
      <c r="D177" s="28">
        <v>3.0</v>
      </c>
      <c r="E177" s="28">
        <v>1.0</v>
      </c>
      <c r="F177" s="35"/>
    </row>
    <row r="178">
      <c r="A178" s="35"/>
      <c r="B178" s="35"/>
      <c r="C178" s="28" t="s">
        <v>113</v>
      </c>
      <c r="D178" s="28">
        <v>3.0</v>
      </c>
      <c r="E178" s="28">
        <v>1.0</v>
      </c>
      <c r="F178" s="35"/>
    </row>
    <row r="179">
      <c r="A179" s="28">
        <v>6.0</v>
      </c>
      <c r="B179" s="28">
        <v>23.0</v>
      </c>
      <c r="C179" s="28" t="s">
        <v>113</v>
      </c>
      <c r="D179" s="28">
        <v>7.0</v>
      </c>
      <c r="E179" s="28">
        <v>2.0</v>
      </c>
      <c r="F179" s="35"/>
    </row>
    <row r="180">
      <c r="A180" s="35"/>
      <c r="B180" s="35"/>
      <c r="C180" s="28" t="s">
        <v>113</v>
      </c>
      <c r="D180" s="28">
        <v>3.0</v>
      </c>
      <c r="E180" s="28">
        <v>1.0</v>
      </c>
      <c r="F180" s="35"/>
    </row>
    <row r="181">
      <c r="A181" s="35"/>
      <c r="B181" s="35"/>
      <c r="C181" s="28" t="s">
        <v>113</v>
      </c>
      <c r="D181" s="28">
        <v>4.0</v>
      </c>
      <c r="E181" s="28">
        <v>1.0</v>
      </c>
      <c r="F181" s="35"/>
    </row>
    <row r="182">
      <c r="A182" s="35"/>
      <c r="B182" s="35"/>
      <c r="C182" s="28" t="s">
        <v>113</v>
      </c>
      <c r="D182" s="28">
        <v>4.0</v>
      </c>
      <c r="E182" s="28">
        <v>1.0</v>
      </c>
      <c r="F182" s="35"/>
    </row>
    <row r="183">
      <c r="A183" s="35"/>
      <c r="B183" s="35"/>
      <c r="C183" s="28" t="s">
        <v>113</v>
      </c>
      <c r="D183" s="28">
        <v>4.0</v>
      </c>
      <c r="E183" s="28">
        <v>1.0</v>
      </c>
      <c r="F183" s="35"/>
    </row>
    <row r="184">
      <c r="A184" s="35"/>
      <c r="B184" s="35"/>
      <c r="C184" s="28" t="s">
        <v>113</v>
      </c>
      <c r="D184" s="28">
        <v>2.0</v>
      </c>
      <c r="E184" s="28">
        <v>2.0</v>
      </c>
      <c r="F184" s="28" t="s">
        <v>198</v>
      </c>
    </row>
    <row r="185">
      <c r="A185" s="35"/>
      <c r="B185" s="35"/>
      <c r="C185" s="28" t="s">
        <v>113</v>
      </c>
      <c r="D185" s="28">
        <v>3.0</v>
      </c>
      <c r="E185" s="28">
        <v>1.0</v>
      </c>
      <c r="F185" s="28" t="s">
        <v>198</v>
      </c>
    </row>
    <row r="186">
      <c r="A186" s="35"/>
      <c r="B186" s="35"/>
      <c r="C186" s="28" t="s">
        <v>113</v>
      </c>
      <c r="D186" s="28">
        <v>4.0</v>
      </c>
      <c r="E186" s="28">
        <v>2.0</v>
      </c>
      <c r="F186" s="28" t="s">
        <v>198</v>
      </c>
    </row>
    <row r="187">
      <c r="A187" s="35"/>
      <c r="B187" s="35"/>
      <c r="C187" s="28" t="s">
        <v>113</v>
      </c>
      <c r="D187" s="28">
        <v>2.0</v>
      </c>
      <c r="E187" s="28">
        <v>1.0</v>
      </c>
      <c r="F187" s="28" t="s">
        <v>198</v>
      </c>
    </row>
    <row r="188">
      <c r="A188" s="35"/>
      <c r="B188" s="35"/>
      <c r="C188" s="28" t="s">
        <v>113</v>
      </c>
      <c r="D188" s="28">
        <v>4.0</v>
      </c>
      <c r="E188" s="28">
        <v>1.0</v>
      </c>
      <c r="F188" s="28" t="s">
        <v>198</v>
      </c>
    </row>
    <row r="189">
      <c r="A189" s="35"/>
      <c r="B189" s="35"/>
      <c r="C189" s="28" t="s">
        <v>113</v>
      </c>
      <c r="D189" s="28">
        <v>2.0</v>
      </c>
      <c r="E189" s="28">
        <v>1.0</v>
      </c>
      <c r="F189" s="28" t="s">
        <v>198</v>
      </c>
    </row>
    <row r="190">
      <c r="A190" s="35"/>
      <c r="B190" s="35"/>
      <c r="C190" s="28" t="s">
        <v>113</v>
      </c>
      <c r="D190" s="28">
        <v>3.0</v>
      </c>
      <c r="E190" s="28">
        <v>1.0</v>
      </c>
      <c r="F190" s="28" t="s">
        <v>198</v>
      </c>
    </row>
    <row r="191">
      <c r="A191" s="35"/>
      <c r="B191" s="35"/>
      <c r="C191" s="28" t="s">
        <v>113</v>
      </c>
      <c r="D191" s="28">
        <v>2.0</v>
      </c>
      <c r="E191" s="28">
        <v>1.0</v>
      </c>
      <c r="F191" s="28" t="s">
        <v>198</v>
      </c>
    </row>
    <row r="192">
      <c r="A192" s="35"/>
      <c r="B192" s="35"/>
      <c r="C192" s="28" t="s">
        <v>113</v>
      </c>
      <c r="D192" s="28">
        <v>2.0</v>
      </c>
      <c r="E192" s="28">
        <v>2.0</v>
      </c>
      <c r="F192" s="28" t="s">
        <v>198</v>
      </c>
    </row>
    <row r="193">
      <c r="A193" s="35"/>
      <c r="B193" s="35"/>
      <c r="C193" s="28" t="s">
        <v>113</v>
      </c>
      <c r="D193" s="28">
        <v>4.0</v>
      </c>
      <c r="E193" s="28">
        <v>1.0</v>
      </c>
      <c r="F193" s="28" t="s">
        <v>198</v>
      </c>
    </row>
    <row r="194">
      <c r="A194" s="35"/>
      <c r="B194" s="35"/>
      <c r="C194" s="28" t="s">
        <v>113</v>
      </c>
      <c r="D194" s="28">
        <v>3.0</v>
      </c>
      <c r="E194" s="28">
        <v>1.0</v>
      </c>
      <c r="F194" s="28"/>
    </row>
    <row r="195">
      <c r="A195" s="35"/>
      <c r="B195" s="35"/>
      <c r="C195" s="28" t="s">
        <v>113</v>
      </c>
      <c r="D195" s="28">
        <v>3.0</v>
      </c>
      <c r="E195" s="28">
        <v>1.0</v>
      </c>
      <c r="F195" s="28" t="s">
        <v>198</v>
      </c>
    </row>
    <row r="196">
      <c r="A196" s="35"/>
      <c r="B196" s="35"/>
      <c r="C196" s="28" t="s">
        <v>113</v>
      </c>
      <c r="D196" s="28" t="s">
        <v>202</v>
      </c>
      <c r="E196" s="35"/>
      <c r="F196" s="35"/>
    </row>
    <row r="197">
      <c r="A197" s="35"/>
      <c r="B197" s="35"/>
      <c r="C197" s="28" t="s">
        <v>113</v>
      </c>
      <c r="D197" s="28">
        <v>4.0</v>
      </c>
      <c r="E197" s="28">
        <v>1.0</v>
      </c>
      <c r="F197" s="28" t="s">
        <v>198</v>
      </c>
    </row>
    <row r="198">
      <c r="A198" s="35"/>
      <c r="B198" s="35"/>
      <c r="C198" s="28" t="s">
        <v>113</v>
      </c>
      <c r="D198" s="28">
        <v>6.0</v>
      </c>
      <c r="E198" s="28">
        <v>1.0</v>
      </c>
      <c r="F198" s="28" t="s">
        <v>198</v>
      </c>
    </row>
    <row r="199">
      <c r="A199" s="35"/>
      <c r="B199" s="35"/>
      <c r="C199" s="28" t="s">
        <v>113</v>
      </c>
      <c r="D199" s="28">
        <v>2.0</v>
      </c>
      <c r="E199" s="28">
        <v>1.0</v>
      </c>
      <c r="F199" s="28" t="s">
        <v>198</v>
      </c>
    </row>
    <row r="200">
      <c r="A200" s="35"/>
      <c r="B200" s="35"/>
      <c r="C200" s="28" t="s">
        <v>113</v>
      </c>
      <c r="D200" s="28">
        <v>3.0</v>
      </c>
      <c r="E200" s="28">
        <v>1.0</v>
      </c>
      <c r="F200" s="28" t="s">
        <v>198</v>
      </c>
    </row>
    <row r="201">
      <c r="A201" s="35"/>
      <c r="B201" s="35"/>
      <c r="C201" s="28" t="s">
        <v>113</v>
      </c>
      <c r="D201" s="28">
        <v>2.0</v>
      </c>
      <c r="E201" s="28">
        <v>1.0</v>
      </c>
      <c r="F201" s="28" t="s">
        <v>198</v>
      </c>
    </row>
    <row r="202">
      <c r="A202" s="35"/>
      <c r="B202" s="35"/>
      <c r="C202" s="28" t="s">
        <v>113</v>
      </c>
      <c r="D202" s="28">
        <v>3.0</v>
      </c>
      <c r="E202" s="28">
        <v>1.0</v>
      </c>
      <c r="F202" s="28" t="s">
        <v>198</v>
      </c>
    </row>
    <row r="203">
      <c r="A203" s="35"/>
      <c r="B203" s="35"/>
      <c r="C203" s="28" t="s">
        <v>113</v>
      </c>
      <c r="D203" s="28">
        <v>3.0</v>
      </c>
      <c r="E203" s="28">
        <v>1.0</v>
      </c>
      <c r="F203" s="28" t="s">
        <v>198</v>
      </c>
    </row>
    <row r="204">
      <c r="A204" s="35"/>
      <c r="B204" s="35"/>
      <c r="C204" s="28" t="s">
        <v>113</v>
      </c>
      <c r="D204" s="28">
        <v>2.0</v>
      </c>
      <c r="E204" s="28">
        <v>1.0</v>
      </c>
      <c r="F204" s="35"/>
    </row>
    <row r="207">
      <c r="A207" s="36"/>
      <c r="B207" s="36"/>
      <c r="C207" s="44" t="s">
        <v>157</v>
      </c>
      <c r="D207" s="44" t="s">
        <v>158</v>
      </c>
      <c r="E207" s="44" t="s">
        <v>159</v>
      </c>
      <c r="F207" s="44" t="s">
        <v>160</v>
      </c>
    </row>
    <row r="208">
      <c r="A208" s="8"/>
      <c r="B208" s="8"/>
      <c r="C208" s="28" t="s">
        <v>161</v>
      </c>
      <c r="D208" s="28" t="s">
        <v>162</v>
      </c>
      <c r="E208" s="28" t="s">
        <v>163</v>
      </c>
      <c r="F208" s="28" t="s">
        <v>164</v>
      </c>
    </row>
    <row r="209">
      <c r="A209" s="8"/>
      <c r="B209" s="8"/>
      <c r="C209" s="28" t="s">
        <v>165</v>
      </c>
      <c r="D209" s="28" t="s">
        <v>166</v>
      </c>
      <c r="E209" s="28" t="s">
        <v>167</v>
      </c>
      <c r="F209" s="28" t="s">
        <v>168</v>
      </c>
    </row>
    <row r="210">
      <c r="A210" s="8"/>
      <c r="B210" s="8"/>
      <c r="C210" s="28" t="s">
        <v>169</v>
      </c>
      <c r="D210" s="28" t="s">
        <v>170</v>
      </c>
      <c r="E210" s="28" t="s">
        <v>171</v>
      </c>
      <c r="F210" s="28" t="s">
        <v>172</v>
      </c>
    </row>
    <row r="211">
      <c r="A211" s="8"/>
      <c r="B211" s="8"/>
      <c r="C211" s="28" t="s">
        <v>173</v>
      </c>
      <c r="D211" s="28" t="s">
        <v>174</v>
      </c>
      <c r="E211" s="28" t="s">
        <v>175</v>
      </c>
      <c r="F211" s="35"/>
    </row>
    <row r="212">
      <c r="A212" s="8"/>
      <c r="B212" s="8"/>
      <c r="C212" s="28" t="s">
        <v>176</v>
      </c>
      <c r="D212" s="28" t="s">
        <v>177</v>
      </c>
      <c r="E212" s="28" t="s">
        <v>178</v>
      </c>
      <c r="F212" s="35"/>
    </row>
    <row r="213">
      <c r="A213" s="8"/>
      <c r="B213" s="8"/>
      <c r="C213" s="28" t="s">
        <v>179</v>
      </c>
      <c r="D213" s="28" t="s">
        <v>180</v>
      </c>
      <c r="E213" s="35"/>
      <c r="F213" s="35"/>
    </row>
    <row r="214">
      <c r="A214" s="8"/>
      <c r="B214" s="8"/>
      <c r="C214" s="28" t="s">
        <v>181</v>
      </c>
      <c r="D214" s="28" t="s">
        <v>130</v>
      </c>
      <c r="E214" s="35"/>
      <c r="F214" s="35"/>
    </row>
    <row r="215">
      <c r="A215" s="8"/>
      <c r="B215" s="8"/>
      <c r="C215" s="28" t="s">
        <v>182</v>
      </c>
      <c r="D215" s="28" t="s">
        <v>132</v>
      </c>
      <c r="E215" s="35"/>
      <c r="F215" s="35"/>
    </row>
  </sheetData>
  <mergeCells count="12">
    <mergeCell ref="A76:F76"/>
    <mergeCell ref="A138:F138"/>
    <mergeCell ref="A139:F139"/>
    <mergeCell ref="A140:F140"/>
    <mergeCell ref="A141:F141"/>
    <mergeCell ref="A1:F1"/>
    <mergeCell ref="A2:F2"/>
    <mergeCell ref="A3:F3"/>
    <mergeCell ref="A4:F4"/>
    <mergeCell ref="A73:F73"/>
    <mergeCell ref="A74:F74"/>
    <mergeCell ref="A75:F7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s>
  <sheetData>
    <row r="2">
      <c r="A2" s="45" t="s">
        <v>183</v>
      </c>
      <c r="B2" s="46" t="s">
        <v>110</v>
      </c>
      <c r="C2" s="46" t="s">
        <v>111</v>
      </c>
      <c r="D2" s="46" t="s">
        <v>112</v>
      </c>
      <c r="E2" s="46" t="s">
        <v>120</v>
      </c>
      <c r="F2" s="46" t="s">
        <v>114</v>
      </c>
      <c r="G2" s="46" t="s">
        <v>115</v>
      </c>
      <c r="H2" s="46" t="s">
        <v>116</v>
      </c>
      <c r="I2" s="46" t="s">
        <v>117</v>
      </c>
    </row>
    <row r="3">
      <c r="A3" s="28" t="s">
        <v>162</v>
      </c>
      <c r="B3" s="82">
        <f>39/50</f>
        <v>0.78</v>
      </c>
      <c r="C3" s="67">
        <f>13/15</f>
        <v>0.8666666667</v>
      </c>
      <c r="D3" s="67">
        <f>12/12</f>
        <v>1</v>
      </c>
      <c r="E3" s="68">
        <f>4/15</f>
        <v>0.2666666667</v>
      </c>
      <c r="F3" s="87">
        <f>4/7</f>
        <v>0.5714285714</v>
      </c>
      <c r="G3" s="88" t="s">
        <v>231</v>
      </c>
      <c r="H3" s="68">
        <f>2/5</f>
        <v>0.4</v>
      </c>
      <c r="I3" s="68">
        <f>5/10</f>
        <v>0.5</v>
      </c>
    </row>
    <row r="4">
      <c r="A4" s="28" t="s">
        <v>166</v>
      </c>
      <c r="B4" s="82">
        <f>34/50</f>
        <v>0.68</v>
      </c>
      <c r="C4" s="82">
        <f>4/15</f>
        <v>0.2666666667</v>
      </c>
      <c r="D4" s="67">
        <f>7/11</f>
        <v>0.6363636364</v>
      </c>
      <c r="E4" s="68">
        <f>5/10</f>
        <v>0.5</v>
      </c>
      <c r="F4" s="82">
        <f>6/7</f>
        <v>0.8571428571</v>
      </c>
      <c r="G4" s="88" t="s">
        <v>231</v>
      </c>
      <c r="H4" s="82">
        <f>0/5</f>
        <v>0</v>
      </c>
      <c r="I4" s="82">
        <f>1/10</f>
        <v>0.1</v>
      </c>
    </row>
    <row r="5">
      <c r="A5" s="45" t="s">
        <v>183</v>
      </c>
      <c r="B5" s="69" t="s">
        <v>110</v>
      </c>
      <c r="C5" s="69" t="s">
        <v>111</v>
      </c>
      <c r="D5" s="69" t="s">
        <v>112</v>
      </c>
      <c r="E5" s="69" t="s">
        <v>120</v>
      </c>
      <c r="F5" s="69" t="s">
        <v>114</v>
      </c>
      <c r="G5" s="69" t="s">
        <v>115</v>
      </c>
      <c r="H5" s="69" t="s">
        <v>116</v>
      </c>
      <c r="I5" s="69" t="s">
        <v>117</v>
      </c>
    </row>
    <row r="6">
      <c r="A6" s="28" t="s">
        <v>170</v>
      </c>
      <c r="B6" s="68"/>
      <c r="C6" s="68"/>
      <c r="D6" s="67">
        <f>8/10</f>
        <v>0.8</v>
      </c>
      <c r="E6" s="68">
        <f>13/48</f>
        <v>0.2708333333</v>
      </c>
      <c r="F6" s="82">
        <f>24/32</f>
        <v>0.75</v>
      </c>
      <c r="G6" s="88">
        <f>4/10</f>
        <v>0.4</v>
      </c>
      <c r="H6" s="82">
        <f t="shared" ref="H6:H7" si="1">0/9</f>
        <v>0</v>
      </c>
      <c r="I6" s="84" t="s">
        <v>231</v>
      </c>
    </row>
    <row r="7">
      <c r="A7" s="28" t="s">
        <v>174</v>
      </c>
      <c r="B7" s="68"/>
      <c r="C7" s="68"/>
      <c r="D7" s="67">
        <f>11/15</f>
        <v>0.7333333333</v>
      </c>
      <c r="E7" s="67">
        <f>26/49</f>
        <v>0.5306122449</v>
      </c>
      <c r="F7" s="82">
        <f>28/30</f>
        <v>0.9333333333</v>
      </c>
      <c r="G7" s="88" t="s">
        <v>231</v>
      </c>
      <c r="H7" s="82">
        <f t="shared" si="1"/>
        <v>0</v>
      </c>
      <c r="I7" s="84" t="s">
        <v>231</v>
      </c>
    </row>
    <row r="8">
      <c r="A8" s="51" t="s">
        <v>183</v>
      </c>
      <c r="B8" s="70" t="s">
        <v>110</v>
      </c>
      <c r="C8" s="70" t="s">
        <v>111</v>
      </c>
      <c r="D8" s="70" t="s">
        <v>112</v>
      </c>
      <c r="E8" s="70" t="s">
        <v>120</v>
      </c>
      <c r="F8" s="70" t="s">
        <v>114</v>
      </c>
      <c r="G8" s="70" t="s">
        <v>115</v>
      </c>
      <c r="H8" s="70" t="s">
        <v>116</v>
      </c>
      <c r="I8" s="70" t="s">
        <v>117</v>
      </c>
    </row>
    <row r="9">
      <c r="A9" s="28" t="s">
        <v>126</v>
      </c>
      <c r="B9" s="71"/>
      <c r="C9" s="71"/>
      <c r="D9" s="72"/>
      <c r="E9" s="67" t="s">
        <v>232</v>
      </c>
      <c r="F9" s="82">
        <f>32/32</f>
        <v>1</v>
      </c>
      <c r="G9" s="82">
        <f>0/3</f>
        <v>0</v>
      </c>
      <c r="H9" s="82">
        <f>0/6</f>
        <v>0</v>
      </c>
      <c r="I9" s="84" t="s">
        <v>231</v>
      </c>
    </row>
    <row r="10">
      <c r="A10" s="28" t="s">
        <v>128</v>
      </c>
      <c r="B10" s="82">
        <f>9/40</f>
        <v>0.225</v>
      </c>
      <c r="C10" s="71"/>
      <c r="D10" s="72"/>
      <c r="E10" s="67" t="s">
        <v>233</v>
      </c>
      <c r="F10" s="82">
        <f>21/32</f>
        <v>0.65625</v>
      </c>
      <c r="G10" s="82">
        <f>4/5</f>
        <v>0.8</v>
      </c>
      <c r="H10" s="82">
        <f>0/4</f>
        <v>0</v>
      </c>
      <c r="I10" s="82">
        <f>4/9</f>
        <v>0.4444444444</v>
      </c>
    </row>
    <row r="11">
      <c r="A11" s="28" t="s">
        <v>130</v>
      </c>
      <c r="B11" s="82">
        <f>21/25</f>
        <v>0.84</v>
      </c>
      <c r="C11" s="67">
        <f>13/13</f>
        <v>1</v>
      </c>
      <c r="D11" s="68">
        <f>9/9</f>
        <v>1</v>
      </c>
      <c r="E11" s="67">
        <f t="shared" ref="E11:E12" si="2">15/15</f>
        <v>1</v>
      </c>
      <c r="F11" s="82">
        <f>6/6</f>
        <v>1</v>
      </c>
      <c r="G11" s="88" t="s">
        <v>231</v>
      </c>
      <c r="H11" s="82">
        <f>1/6</f>
        <v>0.1666666667</v>
      </c>
      <c r="I11" s="67">
        <f>5/9</f>
        <v>0.5555555556</v>
      </c>
    </row>
    <row r="12">
      <c r="A12" s="28" t="s">
        <v>132</v>
      </c>
      <c r="B12" s="82">
        <f>4/25</f>
        <v>0.16</v>
      </c>
      <c r="C12" s="67">
        <f>25/25</f>
        <v>1</v>
      </c>
      <c r="D12" s="68">
        <f>10/10</f>
        <v>1</v>
      </c>
      <c r="E12" s="67">
        <f t="shared" si="2"/>
        <v>1</v>
      </c>
      <c r="F12" s="82">
        <f>10/10</f>
        <v>1</v>
      </c>
      <c r="G12" s="88" t="s">
        <v>231</v>
      </c>
      <c r="H12" s="67">
        <f t="shared" ref="H12:I12" si="3">6/6</f>
        <v>1</v>
      </c>
      <c r="I12" s="67">
        <f t="shared" si="3"/>
        <v>1</v>
      </c>
    </row>
    <row r="13">
      <c r="A13" s="28" t="s">
        <v>134</v>
      </c>
      <c r="B13" s="89">
        <v>22.0</v>
      </c>
      <c r="C13" s="89">
        <v>24.0</v>
      </c>
      <c r="D13" s="89">
        <v>5.0</v>
      </c>
      <c r="E13" s="35"/>
      <c r="F13" s="89">
        <v>25.0</v>
      </c>
      <c r="G13" s="35"/>
      <c r="H13" s="35"/>
      <c r="I13" s="35"/>
    </row>
    <row r="14">
      <c r="A14" s="28" t="s">
        <v>136</v>
      </c>
      <c r="B14" s="89">
        <v>24.0</v>
      </c>
      <c r="C14" s="89">
        <v>24.0</v>
      </c>
      <c r="D14" s="35"/>
      <c r="E14" s="35"/>
      <c r="F14" s="89">
        <v>24.0</v>
      </c>
      <c r="G14" s="35"/>
      <c r="H14" s="89">
        <v>3.0</v>
      </c>
      <c r="I14" s="89">
        <v>9.0</v>
      </c>
    </row>
    <row r="15">
      <c r="A15" s="28" t="s">
        <v>137</v>
      </c>
      <c r="B15" s="89">
        <v>20.0</v>
      </c>
      <c r="C15" s="89">
        <v>23.0</v>
      </c>
      <c r="D15" s="89">
        <v>7.0</v>
      </c>
      <c r="E15" s="35"/>
      <c r="F15" s="89">
        <v>25.0</v>
      </c>
      <c r="G15" s="35"/>
      <c r="H15" s="35"/>
      <c r="I15" s="35"/>
    </row>
    <row r="16">
      <c r="A16" s="28" t="s">
        <v>140</v>
      </c>
      <c r="B16" s="89">
        <v>24.0</v>
      </c>
      <c r="C16" s="89">
        <v>24.0</v>
      </c>
      <c r="D16" s="35"/>
      <c r="E16" s="35"/>
      <c r="F16" s="89">
        <v>24.0</v>
      </c>
      <c r="G16" s="35"/>
      <c r="H16" s="35"/>
      <c r="I16" s="35"/>
    </row>
    <row r="20">
      <c r="F20" s="68"/>
    </row>
    <row r="21">
      <c r="A21" s="78" t="s">
        <v>237</v>
      </c>
    </row>
    <row r="22">
      <c r="A22" s="86" t="s">
        <v>305</v>
      </c>
    </row>
    <row r="23">
      <c r="A23" s="90" t="s">
        <v>323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144</v>
      </c>
      <c r="G1" s="14"/>
    </row>
    <row r="2">
      <c r="A2" s="92" t="s">
        <v>294</v>
      </c>
      <c r="B2" s="38"/>
      <c r="C2" s="38"/>
      <c r="D2" s="38"/>
      <c r="E2" s="38"/>
      <c r="F2" s="39"/>
      <c r="G2" s="14"/>
    </row>
    <row r="3">
      <c r="A3" s="92" t="s">
        <v>324</v>
      </c>
      <c r="B3" s="38"/>
      <c r="C3" s="38"/>
      <c r="D3" s="38"/>
      <c r="E3" s="38"/>
      <c r="F3" s="39"/>
      <c r="G3" s="14"/>
    </row>
    <row r="4">
      <c r="A4" s="93"/>
      <c r="B4" s="41"/>
      <c r="C4" s="41"/>
      <c r="D4" s="41"/>
      <c r="E4" s="41"/>
      <c r="F4" s="42"/>
      <c r="G4" s="14"/>
    </row>
    <row r="5">
      <c r="A5" s="94" t="s">
        <v>325</v>
      </c>
      <c r="B5" s="95" t="s">
        <v>326</v>
      </c>
      <c r="C5" s="95" t="s">
        <v>327</v>
      </c>
      <c r="D5" s="95" t="s">
        <v>328</v>
      </c>
      <c r="E5" s="95" t="s">
        <v>329</v>
      </c>
      <c r="F5" s="96" t="s">
        <v>330</v>
      </c>
      <c r="G5" s="14"/>
    </row>
    <row r="6">
      <c r="A6" s="81">
        <v>1.0</v>
      </c>
      <c r="B6" s="97"/>
      <c r="C6" s="81">
        <v>1.0</v>
      </c>
      <c r="D6" s="81">
        <v>15.0</v>
      </c>
      <c r="E6" s="97"/>
      <c r="F6" s="97"/>
      <c r="G6" s="14"/>
    </row>
    <row r="7">
      <c r="A7" s="81">
        <v>1.0</v>
      </c>
      <c r="B7" s="97"/>
      <c r="C7" s="81">
        <v>2.0</v>
      </c>
      <c r="D7" s="81">
        <v>10.0</v>
      </c>
      <c r="E7" s="97"/>
      <c r="F7" s="97"/>
      <c r="G7" s="14"/>
    </row>
    <row r="8">
      <c r="A8" s="81">
        <v>1.0</v>
      </c>
      <c r="B8" s="97"/>
      <c r="C8" s="81">
        <v>3.0</v>
      </c>
      <c r="D8" s="81">
        <v>15.0</v>
      </c>
      <c r="E8" s="97"/>
      <c r="F8" s="97"/>
      <c r="G8" s="14"/>
    </row>
    <row r="9">
      <c r="A9" s="81">
        <v>1.0</v>
      </c>
      <c r="B9" s="97"/>
      <c r="C9" s="81">
        <v>4.0</v>
      </c>
      <c r="D9" s="81">
        <v>10.0</v>
      </c>
      <c r="E9" s="97"/>
      <c r="F9" s="97"/>
      <c r="G9" s="14"/>
    </row>
    <row r="10">
      <c r="A10" s="81">
        <v>2.0</v>
      </c>
      <c r="B10" s="97"/>
      <c r="C10" s="81">
        <v>1.0</v>
      </c>
      <c r="D10" s="81">
        <v>10.0</v>
      </c>
      <c r="E10" s="97"/>
      <c r="F10" s="97"/>
      <c r="G10" s="14"/>
    </row>
    <row r="11">
      <c r="A11" s="81">
        <v>2.0</v>
      </c>
      <c r="B11" s="97"/>
      <c r="C11" s="81">
        <v>2.0</v>
      </c>
      <c r="D11" s="81">
        <v>23.0</v>
      </c>
      <c r="E11" s="97"/>
      <c r="F11" s="97"/>
      <c r="G11" s="14"/>
    </row>
    <row r="12">
      <c r="A12" s="81">
        <v>2.0</v>
      </c>
      <c r="B12" s="97"/>
      <c r="C12" s="81">
        <v>3.0</v>
      </c>
      <c r="D12" s="81">
        <v>13.0</v>
      </c>
      <c r="E12" s="97"/>
      <c r="F12" s="97"/>
      <c r="G12" s="14"/>
    </row>
    <row r="13">
      <c r="A13" s="81">
        <v>2.0</v>
      </c>
      <c r="B13" s="97"/>
      <c r="C13" s="81">
        <v>4.0</v>
      </c>
      <c r="D13" s="81">
        <v>11.0</v>
      </c>
      <c r="E13" s="97"/>
      <c r="F13" s="97"/>
      <c r="G13" s="14"/>
    </row>
    <row r="14">
      <c r="A14" s="81">
        <v>3.0</v>
      </c>
      <c r="B14" s="97"/>
      <c r="C14" s="81">
        <v>1.0</v>
      </c>
      <c r="D14" s="81">
        <v>4.0</v>
      </c>
      <c r="E14" s="97"/>
      <c r="F14" s="97"/>
      <c r="G14" s="14"/>
    </row>
    <row r="15">
      <c r="A15" s="81">
        <v>3.0</v>
      </c>
      <c r="B15" s="97"/>
      <c r="C15" s="81">
        <v>2.0</v>
      </c>
      <c r="D15" s="81">
        <v>5.0</v>
      </c>
      <c r="E15" s="97"/>
      <c r="F15" s="97"/>
      <c r="G15" s="14"/>
    </row>
    <row r="16">
      <c r="A16" s="81">
        <v>3.0</v>
      </c>
      <c r="B16" s="97"/>
      <c r="C16" s="81">
        <v>3.0</v>
      </c>
      <c r="D16" s="81">
        <v>2.0</v>
      </c>
      <c r="E16" s="97"/>
      <c r="F16" s="97"/>
      <c r="G16" s="14"/>
    </row>
    <row r="17">
      <c r="A17" s="81">
        <v>3.0</v>
      </c>
      <c r="B17" s="97"/>
      <c r="C17" s="81">
        <v>4.0</v>
      </c>
      <c r="D17" s="81">
        <v>7.0</v>
      </c>
      <c r="E17" s="97"/>
      <c r="F17" s="97"/>
      <c r="G17" s="14"/>
    </row>
    <row r="18">
      <c r="A18" s="81">
        <v>3.0</v>
      </c>
      <c r="B18" s="97"/>
      <c r="C18" s="81">
        <v>5.0</v>
      </c>
      <c r="D18" s="81">
        <v>3.0</v>
      </c>
      <c r="E18" s="97"/>
      <c r="F18" s="97"/>
      <c r="G18" s="14"/>
    </row>
    <row r="19">
      <c r="A19" s="81">
        <v>3.0</v>
      </c>
      <c r="B19" s="97"/>
      <c r="C19" s="81">
        <v>6.0</v>
      </c>
      <c r="D19" s="81">
        <v>9.0</v>
      </c>
      <c r="E19" s="97"/>
      <c r="F19" s="97"/>
      <c r="G19" s="14"/>
    </row>
    <row r="20">
      <c r="A20" s="81">
        <v>3.0</v>
      </c>
      <c r="B20" s="97"/>
      <c r="C20" s="81">
        <v>7.0</v>
      </c>
      <c r="D20" s="81">
        <v>1.0</v>
      </c>
      <c r="E20" s="97"/>
      <c r="F20" s="97"/>
      <c r="G20" s="14"/>
    </row>
    <row r="21">
      <c r="A21" s="81">
        <v>3.0</v>
      </c>
      <c r="B21" s="97"/>
      <c r="C21" s="81">
        <v>8.0</v>
      </c>
      <c r="D21" s="81">
        <v>5.0</v>
      </c>
      <c r="E21" s="97"/>
      <c r="F21" s="97"/>
      <c r="G21" s="14"/>
    </row>
    <row r="22">
      <c r="A22" s="81">
        <v>3.0</v>
      </c>
      <c r="B22" s="97"/>
      <c r="C22" s="81">
        <v>9.0</v>
      </c>
      <c r="D22" s="81">
        <v>4.0</v>
      </c>
      <c r="E22" s="97"/>
      <c r="F22" s="97"/>
      <c r="G22" s="14"/>
    </row>
    <row r="23">
      <c r="A23" s="81">
        <v>3.0</v>
      </c>
      <c r="B23" s="97"/>
      <c r="C23" s="81">
        <v>10.0</v>
      </c>
      <c r="D23" s="81">
        <v>9.0</v>
      </c>
      <c r="E23" s="97"/>
      <c r="F23" s="97"/>
      <c r="G23" s="14"/>
    </row>
    <row r="24">
      <c r="A24" s="81">
        <v>3.0</v>
      </c>
      <c r="B24" s="97"/>
      <c r="C24" s="81">
        <v>11.0</v>
      </c>
      <c r="D24" s="81">
        <v>11.0</v>
      </c>
      <c r="E24" s="97"/>
      <c r="F24" s="97"/>
      <c r="G24" s="14"/>
    </row>
    <row r="25">
      <c r="A25" s="81">
        <v>3.0</v>
      </c>
      <c r="B25" s="97"/>
      <c r="C25" s="81">
        <v>12.0</v>
      </c>
      <c r="D25" s="81">
        <v>5.0</v>
      </c>
      <c r="E25" s="97"/>
      <c r="F25" s="97"/>
      <c r="G25" s="14"/>
    </row>
    <row r="26">
      <c r="A26" s="81">
        <v>3.0</v>
      </c>
      <c r="B26" s="97"/>
      <c r="C26" s="81">
        <v>13.0</v>
      </c>
      <c r="D26" s="81">
        <v>3.0</v>
      </c>
      <c r="E26" s="97"/>
      <c r="F26" s="97"/>
      <c r="G26" s="14"/>
    </row>
    <row r="27">
      <c r="A27" s="81">
        <v>3.0</v>
      </c>
      <c r="B27" s="97"/>
      <c r="C27" s="81">
        <v>14.0</v>
      </c>
      <c r="D27" s="81">
        <v>3.0</v>
      </c>
      <c r="E27" s="97"/>
      <c r="F27" s="97"/>
      <c r="G27" s="14"/>
    </row>
    <row r="28">
      <c r="A28" s="81">
        <v>3.0</v>
      </c>
      <c r="B28" s="97"/>
      <c r="C28" s="81">
        <v>15.0</v>
      </c>
      <c r="D28" s="81">
        <v>10.0</v>
      </c>
      <c r="E28" s="97"/>
      <c r="F28" s="97"/>
      <c r="G28" s="14"/>
    </row>
    <row r="29">
      <c r="A29" s="81">
        <v>3.0</v>
      </c>
      <c r="B29" s="97"/>
      <c r="C29" s="81">
        <v>16.0</v>
      </c>
      <c r="D29" s="81">
        <v>28.0</v>
      </c>
      <c r="E29" s="97"/>
      <c r="F29" s="97"/>
      <c r="G29" s="14"/>
    </row>
    <row r="30">
      <c r="A30" s="81">
        <v>3.0</v>
      </c>
      <c r="B30" s="97"/>
      <c r="C30" s="81">
        <v>17.0</v>
      </c>
      <c r="D30" s="81">
        <v>2.0</v>
      </c>
      <c r="E30" s="97"/>
      <c r="F30" s="97"/>
      <c r="G30" s="14"/>
    </row>
    <row r="31">
      <c r="A31" s="81">
        <v>3.0</v>
      </c>
      <c r="B31" s="97"/>
      <c r="C31" s="81">
        <v>18.0</v>
      </c>
      <c r="D31" s="81">
        <v>4.0</v>
      </c>
      <c r="E31" s="97"/>
      <c r="F31" s="97"/>
      <c r="G31" s="14"/>
    </row>
    <row r="32">
      <c r="A32" s="81">
        <v>3.0</v>
      </c>
      <c r="B32" s="97"/>
      <c r="C32" s="81">
        <v>19.0</v>
      </c>
      <c r="D32" s="81">
        <v>10.0</v>
      </c>
      <c r="E32" s="97"/>
      <c r="F32" s="97"/>
      <c r="G32" s="14"/>
    </row>
    <row r="33">
      <c r="A33" s="81">
        <v>3.0</v>
      </c>
      <c r="B33" s="97"/>
      <c r="C33" s="81">
        <v>20.0</v>
      </c>
      <c r="D33" s="81">
        <v>16.0</v>
      </c>
      <c r="E33" s="97"/>
      <c r="F33" s="97"/>
      <c r="G33" s="14"/>
    </row>
    <row r="34">
      <c r="A34" s="81">
        <v>3.0</v>
      </c>
      <c r="B34" s="97"/>
      <c r="C34" s="81">
        <v>21.0</v>
      </c>
      <c r="D34" s="81">
        <v>7.0</v>
      </c>
      <c r="E34" s="97"/>
      <c r="F34" s="97"/>
      <c r="G34" s="14"/>
    </row>
    <row r="35">
      <c r="A35" s="81">
        <v>3.0</v>
      </c>
      <c r="B35" s="97"/>
      <c r="C35" s="81">
        <v>22.0</v>
      </c>
      <c r="D35" s="81">
        <v>3.0</v>
      </c>
      <c r="E35" s="97"/>
      <c r="F35" s="97"/>
      <c r="G35" s="14"/>
    </row>
    <row r="36">
      <c r="A36" s="81">
        <v>3.0</v>
      </c>
      <c r="B36" s="97"/>
      <c r="C36" s="81">
        <v>23.0</v>
      </c>
      <c r="D36" s="81">
        <v>5.0</v>
      </c>
      <c r="E36" s="97"/>
      <c r="F36" s="97"/>
      <c r="G36" s="14"/>
    </row>
    <row r="37">
      <c r="A37" s="81">
        <v>3.0</v>
      </c>
      <c r="B37" s="97"/>
      <c r="C37" s="81">
        <v>24.0</v>
      </c>
      <c r="D37" s="81">
        <v>2.0</v>
      </c>
      <c r="E37" s="97"/>
      <c r="F37" s="97"/>
      <c r="G37" s="14"/>
    </row>
    <row r="38">
      <c r="A38" s="81">
        <v>3.0</v>
      </c>
      <c r="B38" s="97"/>
      <c r="C38" s="81">
        <v>25.0</v>
      </c>
      <c r="D38" s="81">
        <v>3.0</v>
      </c>
      <c r="E38" s="97"/>
      <c r="F38" s="97"/>
      <c r="G38" s="14"/>
    </row>
    <row r="39">
      <c r="A39" s="81">
        <v>3.0</v>
      </c>
      <c r="B39" s="97"/>
      <c r="C39" s="81">
        <v>26.0</v>
      </c>
      <c r="D39" s="81">
        <v>5.0</v>
      </c>
      <c r="E39" s="97"/>
      <c r="F39" s="97"/>
      <c r="G39" s="14"/>
    </row>
    <row r="40">
      <c r="A40" s="81">
        <v>4.0</v>
      </c>
      <c r="B40" s="97"/>
      <c r="C40" s="81">
        <v>1.0</v>
      </c>
      <c r="D40" s="81">
        <v>4.0</v>
      </c>
      <c r="E40" s="97"/>
      <c r="F40" s="97"/>
      <c r="G40" s="14"/>
    </row>
    <row r="41">
      <c r="A41" s="81">
        <v>4.0</v>
      </c>
      <c r="B41" s="97"/>
      <c r="C41" s="81">
        <v>2.0</v>
      </c>
      <c r="D41" s="81">
        <v>4.0</v>
      </c>
      <c r="E41" s="97"/>
      <c r="F41" s="97"/>
      <c r="G41" s="14"/>
    </row>
    <row r="42">
      <c r="A42" s="81">
        <v>4.0</v>
      </c>
      <c r="B42" s="97"/>
      <c r="C42" s="81">
        <v>3.0</v>
      </c>
      <c r="D42" s="81">
        <v>2.0</v>
      </c>
      <c r="E42" s="97"/>
      <c r="F42" s="97"/>
      <c r="G42" s="14"/>
    </row>
    <row r="43">
      <c r="A43" s="81">
        <v>4.0</v>
      </c>
      <c r="B43" s="97"/>
      <c r="C43" s="81">
        <v>4.0</v>
      </c>
      <c r="D43" s="81">
        <v>6.0</v>
      </c>
      <c r="E43" s="97"/>
      <c r="F43" s="97"/>
      <c r="G43" s="14"/>
    </row>
    <row r="44">
      <c r="A44" s="81">
        <v>4.0</v>
      </c>
      <c r="B44" s="97"/>
      <c r="C44" s="81">
        <v>5.0</v>
      </c>
      <c r="D44" s="81">
        <v>17.0</v>
      </c>
      <c r="E44" s="97"/>
      <c r="F44" s="97"/>
      <c r="G44" s="14"/>
    </row>
    <row r="45">
      <c r="A45" s="81">
        <v>4.0</v>
      </c>
      <c r="B45" s="97"/>
      <c r="C45" s="81">
        <v>6.0</v>
      </c>
      <c r="D45" s="81">
        <v>5.0</v>
      </c>
      <c r="E45" s="97"/>
      <c r="F45" s="97"/>
      <c r="G45" s="14"/>
    </row>
    <row r="46">
      <c r="A46" s="81">
        <v>4.0</v>
      </c>
      <c r="B46" s="97"/>
      <c r="C46" s="81">
        <v>7.0</v>
      </c>
      <c r="D46" s="81">
        <v>6.0</v>
      </c>
      <c r="E46" s="97"/>
      <c r="F46" s="97"/>
      <c r="G46" s="14"/>
    </row>
    <row r="47">
      <c r="A47" s="81">
        <v>4.0</v>
      </c>
      <c r="B47" s="97"/>
      <c r="C47" s="81">
        <v>8.0</v>
      </c>
      <c r="D47" s="81">
        <v>7.0</v>
      </c>
      <c r="E47" s="97"/>
      <c r="F47" s="97"/>
      <c r="G47" s="14"/>
    </row>
    <row r="48">
      <c r="A48" s="81">
        <v>4.0</v>
      </c>
      <c r="B48" s="97"/>
      <c r="C48" s="81">
        <v>9.0</v>
      </c>
      <c r="D48" s="81">
        <v>10.0</v>
      </c>
      <c r="E48" s="97"/>
      <c r="F48" s="97"/>
      <c r="G48" s="14"/>
    </row>
    <row r="49">
      <c r="A49" s="81">
        <v>4.0</v>
      </c>
      <c r="B49" s="97"/>
      <c r="C49" s="81">
        <v>10.0</v>
      </c>
      <c r="D49" s="81">
        <v>5.0</v>
      </c>
      <c r="E49" s="97"/>
      <c r="F49" s="97"/>
      <c r="G49" s="14"/>
    </row>
    <row r="50">
      <c r="A50" s="98">
        <v>9.0</v>
      </c>
      <c r="B50" s="99">
        <v>25.0</v>
      </c>
      <c r="C50" s="81">
        <v>1.0</v>
      </c>
      <c r="D50" s="98">
        <v>11.0</v>
      </c>
      <c r="E50" s="97"/>
      <c r="F50" s="97"/>
      <c r="G50" s="14"/>
    </row>
    <row r="51">
      <c r="A51" s="98">
        <v>9.0</v>
      </c>
      <c r="B51" s="99">
        <v>25.0</v>
      </c>
      <c r="C51" s="81">
        <v>2.0</v>
      </c>
      <c r="D51" s="98">
        <v>10.0</v>
      </c>
      <c r="E51" s="97"/>
      <c r="F51" s="97"/>
      <c r="G51" s="14"/>
    </row>
    <row r="52">
      <c r="A52" s="98">
        <v>9.0</v>
      </c>
      <c r="B52" s="99">
        <v>25.0</v>
      </c>
      <c r="C52" s="81">
        <v>3.0</v>
      </c>
      <c r="D52" s="98">
        <v>8.0</v>
      </c>
      <c r="E52" s="97"/>
      <c r="F52" s="97"/>
      <c r="G52" s="14"/>
    </row>
    <row r="53">
      <c r="A53" s="98">
        <v>9.0</v>
      </c>
      <c r="B53" s="99">
        <v>25.0</v>
      </c>
      <c r="C53" s="81">
        <v>4.0</v>
      </c>
      <c r="D53" s="98">
        <v>8.0</v>
      </c>
      <c r="E53" s="97"/>
      <c r="F53" s="97"/>
      <c r="G53" s="14"/>
    </row>
    <row r="54">
      <c r="A54" s="98">
        <v>9.0</v>
      </c>
      <c r="B54" s="99">
        <v>25.0</v>
      </c>
      <c r="C54" s="81">
        <v>5.0</v>
      </c>
      <c r="D54" s="98">
        <v>9.0</v>
      </c>
      <c r="E54" s="97"/>
      <c r="F54" s="97"/>
      <c r="G54" s="14"/>
    </row>
    <row r="55">
      <c r="A55" s="98">
        <v>9.0</v>
      </c>
      <c r="B55" s="99">
        <v>25.0</v>
      </c>
      <c r="C55" s="81">
        <v>6.0</v>
      </c>
      <c r="D55" s="98">
        <v>9.0</v>
      </c>
      <c r="E55" s="97"/>
      <c r="F55" s="97"/>
      <c r="G55" s="14"/>
    </row>
    <row r="56">
      <c r="A56" s="98">
        <v>9.0</v>
      </c>
      <c r="B56" s="99">
        <v>25.0</v>
      </c>
      <c r="C56" s="81">
        <v>7.0</v>
      </c>
      <c r="D56" s="98">
        <v>11.0</v>
      </c>
      <c r="E56" s="97"/>
      <c r="F56" s="97"/>
      <c r="G56" s="14"/>
    </row>
    <row r="57">
      <c r="A57" s="98">
        <v>9.0</v>
      </c>
      <c r="B57" s="99">
        <v>25.0</v>
      </c>
      <c r="C57" s="81">
        <v>8.0</v>
      </c>
      <c r="D57" s="98">
        <v>10.0</v>
      </c>
      <c r="E57" s="97"/>
      <c r="F57" s="97"/>
      <c r="G57" s="14"/>
    </row>
    <row r="58">
      <c r="A58" s="98">
        <v>9.0</v>
      </c>
      <c r="B58" s="99">
        <v>25.0</v>
      </c>
      <c r="C58" s="81">
        <v>9.0</v>
      </c>
      <c r="D58" s="98">
        <v>13.0</v>
      </c>
      <c r="E58" s="97"/>
      <c r="F58" s="97"/>
      <c r="G58" s="14"/>
    </row>
    <row r="59">
      <c r="A59" s="98">
        <v>9.0</v>
      </c>
      <c r="B59" s="99">
        <v>25.0</v>
      </c>
      <c r="C59" s="81">
        <v>10.0</v>
      </c>
      <c r="D59" s="98">
        <v>5.0</v>
      </c>
      <c r="E59" s="97"/>
      <c r="F59" s="97"/>
      <c r="G59" s="14"/>
    </row>
    <row r="60">
      <c r="A60" s="98">
        <v>9.0</v>
      </c>
      <c r="B60" s="99">
        <v>25.0</v>
      </c>
      <c r="C60" s="81">
        <v>11.0</v>
      </c>
      <c r="D60" s="98">
        <v>12.0</v>
      </c>
      <c r="E60" s="97"/>
      <c r="F60" s="97"/>
      <c r="G60" s="14"/>
    </row>
    <row r="61">
      <c r="A61" s="98">
        <v>9.0</v>
      </c>
      <c r="B61" s="99">
        <v>25.0</v>
      </c>
      <c r="C61" s="81">
        <v>12.0</v>
      </c>
      <c r="D61" s="98">
        <v>11.0</v>
      </c>
      <c r="E61" s="97"/>
      <c r="F61" s="97"/>
      <c r="G61" s="14"/>
    </row>
    <row r="62">
      <c r="A62" s="98">
        <v>9.0</v>
      </c>
      <c r="B62" s="99">
        <v>25.0</v>
      </c>
      <c r="C62" s="81">
        <v>13.0</v>
      </c>
      <c r="D62" s="98">
        <v>10.0</v>
      </c>
      <c r="E62" s="97"/>
      <c r="F62" s="97"/>
      <c r="G62" s="14"/>
    </row>
    <row r="63">
      <c r="A63" s="98">
        <v>9.0</v>
      </c>
      <c r="B63" s="99">
        <v>25.0</v>
      </c>
      <c r="C63" s="81">
        <v>14.0</v>
      </c>
      <c r="D63" s="98">
        <v>9.0</v>
      </c>
      <c r="E63" s="97"/>
      <c r="F63" s="97"/>
      <c r="G63" s="14"/>
    </row>
    <row r="64">
      <c r="A64" s="98">
        <v>9.0</v>
      </c>
      <c r="B64" s="99">
        <v>25.0</v>
      </c>
      <c r="C64" s="81">
        <v>15.0</v>
      </c>
      <c r="D64" s="98">
        <v>9.0</v>
      </c>
      <c r="E64" s="97"/>
      <c r="F64" s="97"/>
      <c r="G64" s="14"/>
    </row>
    <row r="65">
      <c r="A65" s="98">
        <v>9.0</v>
      </c>
      <c r="B65" s="99">
        <v>25.0</v>
      </c>
      <c r="C65" s="81">
        <v>16.0</v>
      </c>
      <c r="D65" s="98">
        <v>9.0</v>
      </c>
      <c r="E65" s="97"/>
      <c r="F65" s="97"/>
      <c r="G65" s="14"/>
    </row>
    <row r="66">
      <c r="A66" s="98">
        <v>9.0</v>
      </c>
      <c r="B66" s="99">
        <v>25.0</v>
      </c>
      <c r="C66" s="81">
        <v>17.0</v>
      </c>
      <c r="D66" s="98">
        <v>8.0</v>
      </c>
      <c r="E66" s="97"/>
      <c r="F66" s="97"/>
      <c r="G66" s="14"/>
    </row>
    <row r="67">
      <c r="A67" s="98">
        <v>9.0</v>
      </c>
      <c r="B67" s="99">
        <v>25.0</v>
      </c>
      <c r="C67" s="81">
        <v>18.0</v>
      </c>
      <c r="D67" s="98">
        <v>10.0</v>
      </c>
      <c r="E67" s="97"/>
      <c r="F67" s="97"/>
      <c r="G67" s="14"/>
    </row>
    <row r="68">
      <c r="A68" s="98">
        <v>9.0</v>
      </c>
      <c r="B68" s="99">
        <v>25.0</v>
      </c>
      <c r="C68" s="81">
        <v>19.0</v>
      </c>
      <c r="D68" s="98">
        <v>11.0</v>
      </c>
      <c r="E68" s="97"/>
      <c r="F68" s="97"/>
      <c r="G68" s="14"/>
    </row>
    <row r="69">
      <c r="A69" s="98">
        <v>9.0</v>
      </c>
      <c r="B69" s="99">
        <v>25.0</v>
      </c>
      <c r="C69" s="81">
        <v>20.0</v>
      </c>
      <c r="D69" s="98">
        <v>11.0</v>
      </c>
      <c r="E69" s="97"/>
      <c r="F69" s="97"/>
      <c r="G69" s="14"/>
    </row>
    <row r="70">
      <c r="A70" s="98">
        <v>9.0</v>
      </c>
      <c r="B70" s="99">
        <v>25.0</v>
      </c>
      <c r="C70" s="98">
        <v>21.0</v>
      </c>
      <c r="D70" s="98">
        <v>10.0</v>
      </c>
      <c r="E70" s="97"/>
      <c r="F70" s="97"/>
      <c r="G70" s="14"/>
    </row>
    <row r="71">
      <c r="A71" s="98">
        <v>9.0</v>
      </c>
      <c r="B71" s="99">
        <v>25.0</v>
      </c>
      <c r="C71" s="98">
        <v>22.0</v>
      </c>
      <c r="D71" s="98">
        <v>11.0</v>
      </c>
      <c r="E71" s="97"/>
      <c r="F71" s="97"/>
      <c r="G71" s="14">
        <f>average(D50:D71)</f>
        <v>9.772727273</v>
      </c>
    </row>
    <row r="72">
      <c r="A72" s="81">
        <v>10.0</v>
      </c>
      <c r="B72" s="81">
        <v>24.0</v>
      </c>
      <c r="C72" s="81">
        <v>1.0</v>
      </c>
      <c r="D72" s="81">
        <v>8.0</v>
      </c>
      <c r="E72" s="97"/>
      <c r="F72" s="97"/>
      <c r="G72" s="14"/>
    </row>
    <row r="73">
      <c r="A73" s="81">
        <v>10.0</v>
      </c>
      <c r="B73" s="81">
        <v>24.0</v>
      </c>
      <c r="C73" s="81">
        <v>2.0</v>
      </c>
      <c r="D73" s="81">
        <v>11.0</v>
      </c>
      <c r="E73" s="97"/>
      <c r="F73" s="97"/>
      <c r="G73" s="14"/>
    </row>
    <row r="74">
      <c r="A74" s="81">
        <v>10.0</v>
      </c>
      <c r="B74" s="81">
        <v>24.0</v>
      </c>
      <c r="C74" s="81">
        <v>3.0</v>
      </c>
      <c r="D74" s="81">
        <v>9.0</v>
      </c>
      <c r="E74" s="97"/>
      <c r="F74" s="97"/>
      <c r="G74" s="14"/>
    </row>
    <row r="75">
      <c r="A75" s="81">
        <v>10.0</v>
      </c>
      <c r="B75" s="81">
        <v>24.0</v>
      </c>
      <c r="C75" s="81">
        <v>4.0</v>
      </c>
      <c r="D75" s="81">
        <v>11.0</v>
      </c>
      <c r="E75" s="97"/>
      <c r="F75" s="97"/>
      <c r="G75" s="14"/>
    </row>
    <row r="76">
      <c r="A76" s="81">
        <v>10.0</v>
      </c>
      <c r="B76" s="81">
        <v>24.0</v>
      </c>
      <c r="C76" s="81">
        <v>5.0</v>
      </c>
      <c r="D76" s="81">
        <v>10.0</v>
      </c>
      <c r="E76" s="97"/>
      <c r="F76" s="97"/>
      <c r="G76" s="14"/>
    </row>
    <row r="77">
      <c r="A77" s="81">
        <v>10.0</v>
      </c>
      <c r="B77" s="81">
        <v>24.0</v>
      </c>
      <c r="C77" s="81">
        <v>6.0</v>
      </c>
      <c r="D77" s="81">
        <v>7.0</v>
      </c>
      <c r="E77" s="97"/>
      <c r="F77" s="97"/>
      <c r="G77" s="14"/>
    </row>
    <row r="78">
      <c r="A78" s="81">
        <v>10.0</v>
      </c>
      <c r="B78" s="81">
        <v>24.0</v>
      </c>
      <c r="C78" s="81">
        <v>7.0</v>
      </c>
      <c r="D78" s="81">
        <v>7.0</v>
      </c>
      <c r="E78" s="97"/>
      <c r="F78" s="97"/>
      <c r="G78" s="14"/>
    </row>
    <row r="79">
      <c r="A79" s="81">
        <v>10.0</v>
      </c>
      <c r="B79" s="81">
        <v>24.0</v>
      </c>
      <c r="C79" s="81">
        <v>8.0</v>
      </c>
      <c r="D79" s="81">
        <v>9.0</v>
      </c>
      <c r="E79" s="97"/>
      <c r="F79" s="97"/>
      <c r="G79" s="14"/>
    </row>
    <row r="80">
      <c r="A80" s="81">
        <v>10.0</v>
      </c>
      <c r="B80" s="81">
        <v>24.0</v>
      </c>
      <c r="C80" s="81">
        <v>9.0</v>
      </c>
      <c r="D80" s="81">
        <v>5.0</v>
      </c>
      <c r="E80" s="97"/>
      <c r="F80" s="97"/>
      <c r="G80" s="14"/>
    </row>
    <row r="81">
      <c r="A81" s="81">
        <v>10.0</v>
      </c>
      <c r="B81" s="81">
        <v>24.0</v>
      </c>
      <c r="C81" s="81">
        <v>10.0</v>
      </c>
      <c r="D81" s="81">
        <v>6.0</v>
      </c>
      <c r="E81" s="97"/>
      <c r="F81" s="97"/>
      <c r="G81" s="14"/>
    </row>
    <row r="82">
      <c r="A82" s="81">
        <v>10.0</v>
      </c>
      <c r="B82" s="81">
        <v>24.0</v>
      </c>
      <c r="C82" s="81">
        <v>11.0</v>
      </c>
      <c r="D82" s="81">
        <v>7.0</v>
      </c>
      <c r="E82" s="97"/>
      <c r="F82" s="97"/>
      <c r="G82" s="14"/>
    </row>
    <row r="83">
      <c r="A83" s="81">
        <v>10.0</v>
      </c>
      <c r="B83" s="81">
        <v>24.0</v>
      </c>
      <c r="C83" s="81">
        <v>12.0</v>
      </c>
      <c r="D83" s="81">
        <v>7.0</v>
      </c>
      <c r="E83" s="97"/>
      <c r="F83" s="97"/>
      <c r="G83" s="14"/>
    </row>
    <row r="84">
      <c r="A84" s="81">
        <v>10.0</v>
      </c>
      <c r="B84" s="81">
        <v>24.0</v>
      </c>
      <c r="C84" s="81">
        <v>13.0</v>
      </c>
      <c r="D84" s="81">
        <v>9.0</v>
      </c>
      <c r="E84" s="97"/>
      <c r="F84" s="97"/>
      <c r="G84" s="14"/>
    </row>
    <row r="85">
      <c r="A85" s="81">
        <v>10.0</v>
      </c>
      <c r="B85" s="81">
        <v>24.0</v>
      </c>
      <c r="C85" s="81">
        <v>14.0</v>
      </c>
      <c r="D85" s="81">
        <v>6.0</v>
      </c>
      <c r="E85" s="97"/>
      <c r="F85" s="97"/>
      <c r="G85" s="14"/>
    </row>
    <row r="86">
      <c r="A86" s="81">
        <v>10.0</v>
      </c>
      <c r="B86" s="81">
        <v>24.0</v>
      </c>
      <c r="C86" s="81">
        <v>15.0</v>
      </c>
      <c r="D86" s="81">
        <v>7.0</v>
      </c>
      <c r="E86" s="97"/>
      <c r="F86" s="97"/>
      <c r="G86" s="14"/>
    </row>
    <row r="87">
      <c r="A87" s="81">
        <v>10.0</v>
      </c>
      <c r="B87" s="81">
        <v>24.0</v>
      </c>
      <c r="C87" s="81">
        <v>16.0</v>
      </c>
      <c r="D87" s="81">
        <v>6.0</v>
      </c>
      <c r="E87" s="97"/>
      <c r="F87" s="97"/>
      <c r="G87" s="14"/>
    </row>
    <row r="88">
      <c r="A88" s="81">
        <v>10.0</v>
      </c>
      <c r="B88" s="81">
        <v>24.0</v>
      </c>
      <c r="C88" s="81">
        <v>17.0</v>
      </c>
      <c r="D88" s="81">
        <v>6.0</v>
      </c>
      <c r="E88" s="97"/>
      <c r="F88" s="97"/>
      <c r="G88" s="14"/>
    </row>
    <row r="89">
      <c r="A89" s="81">
        <v>10.0</v>
      </c>
      <c r="B89" s="81">
        <v>24.0</v>
      </c>
      <c r="C89" s="81">
        <v>18.0</v>
      </c>
      <c r="D89" s="81">
        <v>6.0</v>
      </c>
      <c r="E89" s="97"/>
      <c r="F89" s="97"/>
      <c r="G89" s="14"/>
    </row>
    <row r="90">
      <c r="A90" s="81">
        <v>10.0</v>
      </c>
      <c r="B90" s="81">
        <v>24.0</v>
      </c>
      <c r="C90" s="81">
        <v>19.0</v>
      </c>
      <c r="D90" s="81">
        <v>5.0</v>
      </c>
      <c r="E90" s="97"/>
      <c r="F90" s="97"/>
      <c r="G90" s="14"/>
    </row>
    <row r="91">
      <c r="A91" s="81">
        <v>10.0</v>
      </c>
      <c r="B91" s="81">
        <v>24.0</v>
      </c>
      <c r="C91" s="81">
        <v>20.0</v>
      </c>
      <c r="D91" s="81">
        <v>9.0</v>
      </c>
      <c r="E91" s="97"/>
      <c r="F91" s="97"/>
      <c r="G91" s="14"/>
    </row>
    <row r="92">
      <c r="A92" s="81">
        <v>10.0</v>
      </c>
      <c r="B92" s="81">
        <v>24.0</v>
      </c>
      <c r="C92" s="81">
        <v>21.0</v>
      </c>
      <c r="D92" s="81">
        <v>11.0</v>
      </c>
      <c r="E92" s="97"/>
      <c r="F92" s="97"/>
      <c r="G92" s="14"/>
    </row>
    <row r="93">
      <c r="A93" s="81">
        <v>10.0</v>
      </c>
      <c r="B93" s="81">
        <v>24.0</v>
      </c>
      <c r="C93" s="81">
        <v>22.0</v>
      </c>
      <c r="D93" s="81">
        <v>8.0</v>
      </c>
      <c r="E93" s="97"/>
      <c r="F93" s="97"/>
      <c r="G93" s="14"/>
    </row>
    <row r="94">
      <c r="A94" s="81">
        <v>10.0</v>
      </c>
      <c r="B94" s="81">
        <v>24.0</v>
      </c>
      <c r="C94" s="81">
        <v>23.0</v>
      </c>
      <c r="D94" s="81">
        <v>12.0</v>
      </c>
      <c r="E94" s="97"/>
      <c r="F94" s="97"/>
      <c r="G94" s="14"/>
    </row>
    <row r="95">
      <c r="A95" s="81">
        <v>10.0</v>
      </c>
      <c r="B95" s="81">
        <v>24.0</v>
      </c>
      <c r="C95" s="81">
        <v>24.0</v>
      </c>
      <c r="D95" s="81">
        <v>12.0</v>
      </c>
      <c r="E95" s="97"/>
      <c r="F95" s="97"/>
      <c r="G95" s="14">
        <f>average(D72:D95)</f>
        <v>8.083333333</v>
      </c>
    </row>
    <row r="96">
      <c r="A96" s="81">
        <v>11.0</v>
      </c>
      <c r="B96" s="81">
        <v>25.0</v>
      </c>
      <c r="C96" s="81">
        <v>1.0</v>
      </c>
      <c r="D96" s="81">
        <v>4.0</v>
      </c>
      <c r="E96" s="97"/>
      <c r="F96" s="97"/>
      <c r="G96" s="14"/>
    </row>
    <row r="97">
      <c r="A97" s="81">
        <v>11.0</v>
      </c>
      <c r="B97" s="81">
        <v>25.0</v>
      </c>
      <c r="C97" s="81">
        <v>2.0</v>
      </c>
      <c r="D97" s="81">
        <v>10.0</v>
      </c>
      <c r="E97" s="97"/>
      <c r="F97" s="97"/>
      <c r="G97" s="14"/>
    </row>
    <row r="98">
      <c r="A98" s="81">
        <v>11.0</v>
      </c>
      <c r="B98" s="81">
        <v>25.0</v>
      </c>
      <c r="C98" s="81">
        <v>3.0</v>
      </c>
      <c r="D98" s="81">
        <v>7.0</v>
      </c>
      <c r="E98" s="97"/>
      <c r="F98" s="97"/>
      <c r="G98" s="14"/>
    </row>
    <row r="99">
      <c r="A99" s="81">
        <v>11.0</v>
      </c>
      <c r="B99" s="81">
        <v>25.0</v>
      </c>
      <c r="C99" s="81">
        <v>4.0</v>
      </c>
      <c r="D99" s="81">
        <v>7.0</v>
      </c>
      <c r="E99" s="97"/>
      <c r="F99" s="97"/>
      <c r="G99" s="14"/>
    </row>
    <row r="100">
      <c r="A100" s="81">
        <v>11.0</v>
      </c>
      <c r="B100" s="81">
        <v>25.0</v>
      </c>
      <c r="C100" s="81">
        <v>5.0</v>
      </c>
      <c r="D100" s="81">
        <v>4.0</v>
      </c>
      <c r="E100" s="97"/>
      <c r="F100" s="97"/>
      <c r="G100" s="14"/>
    </row>
    <row r="101">
      <c r="A101" s="81">
        <v>11.0</v>
      </c>
      <c r="B101" s="81">
        <v>25.0</v>
      </c>
      <c r="C101" s="81">
        <v>6.0</v>
      </c>
      <c r="D101" s="81">
        <v>7.0</v>
      </c>
      <c r="E101" s="97"/>
      <c r="F101" s="97"/>
      <c r="G101" s="14"/>
    </row>
    <row r="102">
      <c r="A102" s="81">
        <v>11.0</v>
      </c>
      <c r="B102" s="81">
        <v>25.0</v>
      </c>
      <c r="C102" s="81">
        <v>7.0</v>
      </c>
      <c r="D102" s="81">
        <v>5.0</v>
      </c>
      <c r="E102" s="97"/>
      <c r="F102" s="97"/>
      <c r="G102" s="14"/>
    </row>
    <row r="103">
      <c r="A103" s="81">
        <v>11.0</v>
      </c>
      <c r="B103" s="81">
        <v>25.0</v>
      </c>
      <c r="C103" s="81">
        <v>8.0</v>
      </c>
      <c r="D103" s="81">
        <v>14.0</v>
      </c>
      <c r="E103" s="97"/>
      <c r="F103" s="97"/>
      <c r="G103" s="14"/>
    </row>
    <row r="104">
      <c r="A104" s="81">
        <v>11.0</v>
      </c>
      <c r="B104" s="81">
        <v>25.0</v>
      </c>
      <c r="C104" s="81">
        <v>9.0</v>
      </c>
      <c r="D104" s="81">
        <v>8.0</v>
      </c>
      <c r="E104" s="97"/>
      <c r="F104" s="97"/>
      <c r="G104" s="14"/>
    </row>
    <row r="105">
      <c r="A105" s="81">
        <v>11.0</v>
      </c>
      <c r="B105" s="81">
        <v>25.0</v>
      </c>
      <c r="C105" s="81">
        <v>10.0</v>
      </c>
      <c r="D105" s="81">
        <v>18.0</v>
      </c>
      <c r="E105" s="97"/>
      <c r="F105" s="97"/>
      <c r="G105" s="14"/>
    </row>
    <row r="106">
      <c r="A106" s="81">
        <v>11.0</v>
      </c>
      <c r="B106" s="81">
        <v>25.0</v>
      </c>
      <c r="C106" s="81">
        <v>11.0</v>
      </c>
      <c r="D106" s="81">
        <v>5.0</v>
      </c>
      <c r="E106" s="97"/>
      <c r="F106" s="97"/>
      <c r="G106" s="14"/>
    </row>
    <row r="107">
      <c r="A107" s="81">
        <v>11.0</v>
      </c>
      <c r="B107" s="81">
        <v>25.0</v>
      </c>
      <c r="C107" s="81">
        <v>12.0</v>
      </c>
      <c r="D107" s="81">
        <v>9.0</v>
      </c>
      <c r="E107" s="97"/>
      <c r="F107" s="97"/>
      <c r="G107" s="14"/>
    </row>
    <row r="108">
      <c r="A108" s="81">
        <v>11.0</v>
      </c>
      <c r="B108" s="81">
        <v>25.0</v>
      </c>
      <c r="C108" s="81">
        <v>13.0</v>
      </c>
      <c r="D108" s="81">
        <v>8.0</v>
      </c>
      <c r="E108" s="97"/>
      <c r="F108" s="97"/>
      <c r="G108" s="14"/>
    </row>
    <row r="109">
      <c r="A109" s="81">
        <v>11.0</v>
      </c>
      <c r="B109" s="81">
        <v>25.0</v>
      </c>
      <c r="C109" s="81">
        <v>14.0</v>
      </c>
      <c r="D109" s="81">
        <v>10.0</v>
      </c>
      <c r="E109" s="97"/>
      <c r="F109" s="97"/>
      <c r="G109" s="14"/>
    </row>
    <row r="110">
      <c r="A110" s="81">
        <v>11.0</v>
      </c>
      <c r="B110" s="81">
        <v>25.0</v>
      </c>
      <c r="C110" s="81">
        <v>15.0</v>
      </c>
      <c r="D110" s="81">
        <v>7.0</v>
      </c>
      <c r="E110" s="97"/>
      <c r="F110" s="97"/>
      <c r="G110" s="14"/>
    </row>
    <row r="111">
      <c r="A111" s="81">
        <v>11.0</v>
      </c>
      <c r="B111" s="81">
        <v>25.0</v>
      </c>
      <c r="C111" s="81">
        <v>16.0</v>
      </c>
      <c r="D111" s="81">
        <v>8.0</v>
      </c>
      <c r="E111" s="97"/>
      <c r="F111" s="97"/>
      <c r="G111" s="14"/>
    </row>
    <row r="112">
      <c r="A112" s="81">
        <v>11.0</v>
      </c>
      <c r="B112" s="81">
        <v>25.0</v>
      </c>
      <c r="C112" s="81">
        <v>17.0</v>
      </c>
      <c r="D112" s="81">
        <v>10.0</v>
      </c>
      <c r="E112" s="97"/>
      <c r="F112" s="97"/>
      <c r="G112" s="14"/>
    </row>
    <row r="113">
      <c r="A113" s="81">
        <v>11.0</v>
      </c>
      <c r="B113" s="81">
        <v>25.0</v>
      </c>
      <c r="C113" s="81">
        <v>18.0</v>
      </c>
      <c r="D113" s="81">
        <v>3.0</v>
      </c>
      <c r="E113" s="97"/>
      <c r="F113" s="97"/>
      <c r="G113" s="14"/>
    </row>
    <row r="114">
      <c r="A114" s="81">
        <v>11.0</v>
      </c>
      <c r="B114" s="81">
        <v>25.0</v>
      </c>
      <c r="C114" s="81">
        <v>19.0</v>
      </c>
      <c r="D114" s="81">
        <v>6.0</v>
      </c>
      <c r="E114" s="97"/>
      <c r="F114" s="97"/>
      <c r="G114" s="14"/>
    </row>
    <row r="115">
      <c r="A115" s="81">
        <v>11.0</v>
      </c>
      <c r="B115" s="81">
        <v>25.0</v>
      </c>
      <c r="C115" s="81">
        <v>20.0</v>
      </c>
      <c r="D115" s="81">
        <v>8.0</v>
      </c>
      <c r="E115" s="97"/>
      <c r="F115" s="97"/>
      <c r="G115" s="14"/>
    </row>
    <row r="116">
      <c r="A116" s="81">
        <v>11.0</v>
      </c>
      <c r="B116" s="81">
        <v>25.0</v>
      </c>
      <c r="C116" s="81">
        <v>21.0</v>
      </c>
      <c r="D116" s="81">
        <v>8.0</v>
      </c>
      <c r="E116" s="97"/>
      <c r="F116" s="97"/>
      <c r="G116" s="14"/>
    </row>
    <row r="117">
      <c r="A117" s="81">
        <v>11.0</v>
      </c>
      <c r="B117" s="81">
        <v>25.0</v>
      </c>
      <c r="C117" s="81">
        <v>22.0</v>
      </c>
      <c r="D117" s="81">
        <v>10.0</v>
      </c>
      <c r="E117" s="97"/>
      <c r="F117" s="97"/>
      <c r="G117" s="14"/>
    </row>
    <row r="118">
      <c r="A118" s="81">
        <v>11.0</v>
      </c>
      <c r="B118" s="81">
        <v>25.0</v>
      </c>
      <c r="C118" s="81">
        <v>23.0</v>
      </c>
      <c r="D118" s="81">
        <v>3.0</v>
      </c>
      <c r="E118" s="97"/>
      <c r="F118" s="97"/>
      <c r="G118" s="14"/>
    </row>
    <row r="119">
      <c r="A119" s="81">
        <v>11.0</v>
      </c>
      <c r="B119" s="81">
        <v>25.0</v>
      </c>
      <c r="C119" s="81">
        <v>24.0</v>
      </c>
      <c r="D119" s="81">
        <v>8.0</v>
      </c>
      <c r="E119" s="97"/>
      <c r="F119" s="97"/>
      <c r="G119" s="14"/>
    </row>
    <row r="120">
      <c r="A120" s="81">
        <v>11.0</v>
      </c>
      <c r="B120" s="81">
        <v>25.0</v>
      </c>
      <c r="C120" s="81">
        <v>25.0</v>
      </c>
      <c r="D120" s="81">
        <v>8.0</v>
      </c>
      <c r="E120" s="97"/>
      <c r="F120" s="97"/>
      <c r="G120" s="14">
        <f>average(D96:D120)</f>
        <v>7.8</v>
      </c>
    </row>
    <row r="121">
      <c r="A121" s="81">
        <v>12.0</v>
      </c>
      <c r="B121" s="81">
        <v>24.0</v>
      </c>
      <c r="C121" s="81">
        <v>1.0</v>
      </c>
      <c r="D121" s="81">
        <v>5.0</v>
      </c>
      <c r="E121" s="97"/>
      <c r="F121" s="97"/>
      <c r="G121" s="14"/>
    </row>
    <row r="122">
      <c r="A122" s="81">
        <v>12.0</v>
      </c>
      <c r="B122" s="81">
        <v>24.0</v>
      </c>
      <c r="C122" s="81">
        <v>2.0</v>
      </c>
      <c r="D122" s="81">
        <v>7.0</v>
      </c>
      <c r="E122" s="97"/>
      <c r="F122" s="97"/>
      <c r="G122" s="14"/>
    </row>
    <row r="123">
      <c r="A123" s="81">
        <v>12.0</v>
      </c>
      <c r="B123" s="81">
        <v>24.0</v>
      </c>
      <c r="C123" s="81">
        <v>3.0</v>
      </c>
      <c r="D123" s="81">
        <v>9.0</v>
      </c>
      <c r="E123" s="97"/>
      <c r="F123" s="97"/>
      <c r="G123" s="14"/>
    </row>
    <row r="124">
      <c r="A124" s="81">
        <v>12.0</v>
      </c>
      <c r="B124" s="81">
        <v>24.0</v>
      </c>
      <c r="C124" s="81">
        <v>4.0</v>
      </c>
      <c r="D124" s="81">
        <v>7.0</v>
      </c>
      <c r="E124" s="97"/>
      <c r="F124" s="97"/>
      <c r="G124" s="14"/>
    </row>
    <row r="125">
      <c r="A125" s="81">
        <v>12.0</v>
      </c>
      <c r="B125" s="81">
        <v>24.0</v>
      </c>
      <c r="C125" s="81">
        <v>5.0</v>
      </c>
      <c r="D125" s="81">
        <v>12.0</v>
      </c>
      <c r="E125" s="97"/>
      <c r="F125" s="97"/>
      <c r="G125" s="14"/>
    </row>
    <row r="126">
      <c r="A126" s="81">
        <v>12.0</v>
      </c>
      <c r="B126" s="81">
        <v>24.0</v>
      </c>
      <c r="C126" s="81">
        <v>6.0</v>
      </c>
      <c r="D126" s="81">
        <v>3.0</v>
      </c>
      <c r="E126" s="97"/>
      <c r="F126" s="97"/>
      <c r="G126" s="14"/>
    </row>
    <row r="127">
      <c r="A127" s="81">
        <v>12.0</v>
      </c>
      <c r="B127" s="81">
        <v>24.0</v>
      </c>
      <c r="C127" s="81">
        <v>7.0</v>
      </c>
      <c r="D127" s="81">
        <v>7.0</v>
      </c>
      <c r="E127" s="97"/>
      <c r="F127" s="97"/>
      <c r="G127" s="14"/>
    </row>
    <row r="128">
      <c r="A128" s="81">
        <v>12.0</v>
      </c>
      <c r="B128" s="81">
        <v>24.0</v>
      </c>
      <c r="C128" s="81">
        <v>8.0</v>
      </c>
      <c r="D128" s="81">
        <v>5.0</v>
      </c>
      <c r="E128" s="97"/>
      <c r="F128" s="97"/>
      <c r="G128" s="14"/>
    </row>
    <row r="129">
      <c r="A129" s="81">
        <v>12.0</v>
      </c>
      <c r="B129" s="81">
        <v>24.0</v>
      </c>
      <c r="C129" s="81">
        <v>9.0</v>
      </c>
      <c r="D129" s="81">
        <v>6.0</v>
      </c>
      <c r="E129" s="97"/>
      <c r="F129" s="97"/>
      <c r="G129" s="14"/>
    </row>
    <row r="130">
      <c r="A130" s="81">
        <v>12.0</v>
      </c>
      <c r="B130" s="81">
        <v>24.0</v>
      </c>
      <c r="C130" s="81">
        <v>10.0</v>
      </c>
      <c r="D130" s="81">
        <v>4.0</v>
      </c>
      <c r="E130" s="97"/>
      <c r="F130" s="97"/>
      <c r="G130" s="14"/>
    </row>
    <row r="131">
      <c r="A131" s="81">
        <v>12.0</v>
      </c>
      <c r="B131" s="81">
        <v>24.0</v>
      </c>
      <c r="C131" s="81">
        <v>11.0</v>
      </c>
      <c r="D131" s="81">
        <v>6.0</v>
      </c>
      <c r="E131" s="97"/>
      <c r="F131" s="97"/>
      <c r="G131" s="14"/>
    </row>
    <row r="132">
      <c r="A132" s="81">
        <v>12.0</v>
      </c>
      <c r="B132" s="81">
        <v>24.0</v>
      </c>
      <c r="C132" s="81">
        <v>12.0</v>
      </c>
      <c r="D132" s="81">
        <v>5.0</v>
      </c>
      <c r="E132" s="97"/>
      <c r="F132" s="97"/>
      <c r="G132" s="14"/>
    </row>
    <row r="133">
      <c r="A133" s="81">
        <v>12.0</v>
      </c>
      <c r="B133" s="81">
        <v>24.0</v>
      </c>
      <c r="C133" s="81">
        <v>13.0</v>
      </c>
      <c r="D133" s="81">
        <v>12.0</v>
      </c>
      <c r="E133" s="97"/>
      <c r="F133" s="97"/>
      <c r="G133" s="14"/>
    </row>
    <row r="134">
      <c r="A134" s="81">
        <v>12.0</v>
      </c>
      <c r="B134" s="81">
        <v>24.0</v>
      </c>
      <c r="C134" s="81">
        <v>14.0</v>
      </c>
      <c r="D134" s="81">
        <v>13.0</v>
      </c>
      <c r="E134" s="97"/>
      <c r="F134" s="97"/>
      <c r="G134" s="14"/>
    </row>
    <row r="135">
      <c r="A135" s="81">
        <v>12.0</v>
      </c>
      <c r="B135" s="81">
        <v>24.0</v>
      </c>
      <c r="C135" s="81">
        <v>15.0</v>
      </c>
      <c r="D135" s="81">
        <v>6.0</v>
      </c>
      <c r="E135" s="97"/>
      <c r="F135" s="97"/>
      <c r="G135" s="14"/>
    </row>
    <row r="136">
      <c r="A136" s="81">
        <v>12.0</v>
      </c>
      <c r="B136" s="81">
        <v>24.0</v>
      </c>
      <c r="C136" s="81">
        <v>16.0</v>
      </c>
      <c r="D136" s="81">
        <v>12.0</v>
      </c>
      <c r="E136" s="97"/>
      <c r="F136" s="97"/>
      <c r="G136" s="14"/>
    </row>
    <row r="137">
      <c r="A137" s="81">
        <v>12.0</v>
      </c>
      <c r="B137" s="81">
        <v>24.0</v>
      </c>
      <c r="C137" s="81">
        <v>17.0</v>
      </c>
      <c r="D137" s="81">
        <v>16.0</v>
      </c>
      <c r="E137" s="97"/>
      <c r="F137" s="97"/>
      <c r="G137" s="14"/>
    </row>
    <row r="138">
      <c r="A138" s="81">
        <v>12.0</v>
      </c>
      <c r="B138" s="81">
        <v>24.0</v>
      </c>
      <c r="C138" s="81">
        <v>18.0</v>
      </c>
      <c r="D138" s="81">
        <v>15.0</v>
      </c>
      <c r="E138" s="97"/>
      <c r="F138" s="97"/>
      <c r="G138" s="14"/>
    </row>
    <row r="139">
      <c r="A139" s="81">
        <v>12.0</v>
      </c>
      <c r="B139" s="81">
        <v>24.0</v>
      </c>
      <c r="C139" s="81">
        <v>19.0</v>
      </c>
      <c r="D139" s="81">
        <v>15.0</v>
      </c>
      <c r="E139" s="97"/>
      <c r="F139" s="97"/>
      <c r="G139" s="14"/>
    </row>
    <row r="140">
      <c r="A140" s="81">
        <v>12.0</v>
      </c>
      <c r="B140" s="81">
        <v>24.0</v>
      </c>
      <c r="C140" s="81">
        <v>20.0</v>
      </c>
      <c r="D140" s="81">
        <v>8.0</v>
      </c>
      <c r="E140" s="97"/>
      <c r="F140" s="97"/>
      <c r="G140" s="14"/>
    </row>
    <row r="141">
      <c r="A141" s="81">
        <v>12.0</v>
      </c>
      <c r="B141" s="81">
        <v>24.0</v>
      </c>
      <c r="C141" s="81">
        <v>21.0</v>
      </c>
      <c r="D141" s="81">
        <v>7.0</v>
      </c>
      <c r="E141" s="97"/>
      <c r="F141" s="97"/>
      <c r="G141" s="14"/>
    </row>
    <row r="142">
      <c r="A142" s="81">
        <v>12.0</v>
      </c>
      <c r="B142" s="81">
        <v>24.0</v>
      </c>
      <c r="C142" s="81">
        <v>22.0</v>
      </c>
      <c r="D142" s="81">
        <v>2.0</v>
      </c>
      <c r="E142" s="97"/>
      <c r="F142" s="97"/>
      <c r="G142" s="14">
        <f>average(D121:D142)</f>
        <v>8.272727273</v>
      </c>
    </row>
    <row r="143">
      <c r="A143" s="92" t="s">
        <v>263</v>
      </c>
      <c r="B143" s="38"/>
      <c r="C143" s="38"/>
      <c r="D143" s="38"/>
      <c r="E143" s="38"/>
      <c r="F143" s="39"/>
      <c r="G143" s="14"/>
    </row>
    <row r="144">
      <c r="A144" s="94" t="s">
        <v>0</v>
      </c>
      <c r="B144" s="95" t="s">
        <v>331</v>
      </c>
      <c r="C144" s="95" t="s">
        <v>332</v>
      </c>
      <c r="D144" s="95" t="s">
        <v>333</v>
      </c>
      <c r="E144" s="95" t="s">
        <v>334</v>
      </c>
      <c r="F144" s="96" t="s">
        <v>335</v>
      </c>
      <c r="G144" s="14"/>
    </row>
    <row r="145">
      <c r="A145" s="81">
        <v>11.0</v>
      </c>
      <c r="B145" s="81">
        <v>23.0</v>
      </c>
      <c r="C145" s="81">
        <v>1.0</v>
      </c>
      <c r="D145" s="81">
        <v>2.0</v>
      </c>
      <c r="E145" s="97"/>
      <c r="F145" s="97"/>
      <c r="G145" s="14"/>
    </row>
    <row r="146">
      <c r="A146" s="81">
        <v>11.0</v>
      </c>
      <c r="B146" s="81">
        <v>23.0</v>
      </c>
      <c r="C146" s="81">
        <v>2.0</v>
      </c>
      <c r="D146" s="81">
        <v>3.0</v>
      </c>
      <c r="E146" s="97"/>
      <c r="F146" s="97"/>
      <c r="G146" s="14"/>
    </row>
    <row r="147">
      <c r="A147" s="81">
        <v>11.0</v>
      </c>
      <c r="B147" s="81">
        <v>23.0</v>
      </c>
      <c r="C147" s="81">
        <v>3.0</v>
      </c>
      <c r="D147" s="81">
        <v>3.0</v>
      </c>
      <c r="E147" s="97"/>
      <c r="F147" s="97"/>
      <c r="G147" s="14"/>
    </row>
    <row r="148">
      <c r="A148" s="81">
        <v>11.0</v>
      </c>
      <c r="B148" s="81">
        <v>23.0</v>
      </c>
      <c r="C148" s="81">
        <v>4.0</v>
      </c>
      <c r="D148" s="81">
        <v>4.0</v>
      </c>
      <c r="E148" s="97"/>
      <c r="F148" s="97"/>
      <c r="G148" s="14"/>
    </row>
    <row r="149">
      <c r="A149" s="81">
        <v>11.0</v>
      </c>
      <c r="B149" s="81">
        <v>23.0</v>
      </c>
      <c r="C149" s="81">
        <v>5.0</v>
      </c>
      <c r="D149" s="81">
        <v>4.0</v>
      </c>
      <c r="E149" s="97"/>
      <c r="F149" s="97"/>
      <c r="G149" s="14"/>
    </row>
    <row r="150">
      <c r="A150" s="81">
        <v>11.0</v>
      </c>
      <c r="B150" s="81">
        <v>23.0</v>
      </c>
      <c r="C150" s="81">
        <v>6.0</v>
      </c>
      <c r="D150" s="81">
        <v>3.0</v>
      </c>
      <c r="E150" s="97"/>
      <c r="F150" s="97"/>
      <c r="G150" s="14"/>
    </row>
    <row r="151">
      <c r="A151" s="81">
        <v>11.0</v>
      </c>
      <c r="B151" s="81">
        <v>23.0</v>
      </c>
      <c r="C151" s="81">
        <v>7.0</v>
      </c>
      <c r="D151" s="81">
        <v>6.0</v>
      </c>
      <c r="E151" s="97"/>
      <c r="F151" s="97"/>
      <c r="G151" s="14"/>
    </row>
    <row r="152">
      <c r="A152" s="81">
        <v>11.0</v>
      </c>
      <c r="B152" s="81">
        <v>23.0</v>
      </c>
      <c r="C152" s="81">
        <v>8.0</v>
      </c>
      <c r="D152" s="81">
        <v>6.0</v>
      </c>
      <c r="E152" s="97"/>
      <c r="F152" s="97"/>
      <c r="G152" s="14"/>
    </row>
    <row r="153">
      <c r="A153" s="81">
        <v>11.0</v>
      </c>
      <c r="B153" s="81">
        <v>23.0</v>
      </c>
      <c r="C153" s="81">
        <v>9.0</v>
      </c>
      <c r="D153" s="81">
        <v>3.0</v>
      </c>
      <c r="E153" s="97"/>
      <c r="F153" s="97"/>
      <c r="G153" s="14"/>
    </row>
    <row r="154">
      <c r="A154" s="81">
        <v>11.0</v>
      </c>
      <c r="B154" s="81">
        <v>23.0</v>
      </c>
      <c r="C154" s="81">
        <v>10.0</v>
      </c>
      <c r="D154" s="81">
        <v>4.0</v>
      </c>
      <c r="E154" s="97"/>
      <c r="F154" s="97"/>
      <c r="G154" s="14"/>
    </row>
    <row r="155">
      <c r="A155" s="81">
        <v>11.0</v>
      </c>
      <c r="B155" s="81">
        <v>23.0</v>
      </c>
      <c r="C155" s="81">
        <v>1.0</v>
      </c>
      <c r="D155" s="81">
        <v>2.0</v>
      </c>
      <c r="E155" s="97"/>
      <c r="F155" s="97"/>
      <c r="G155" s="14"/>
    </row>
    <row r="156">
      <c r="A156" s="81">
        <v>11.0</v>
      </c>
      <c r="B156" s="81">
        <v>23.0</v>
      </c>
      <c r="C156" s="81">
        <v>12.0</v>
      </c>
      <c r="D156" s="81">
        <v>3.0</v>
      </c>
      <c r="E156" s="97"/>
      <c r="F156" s="97"/>
      <c r="G156" s="14"/>
    </row>
    <row r="157">
      <c r="A157" s="81">
        <v>11.0</v>
      </c>
      <c r="B157" s="81">
        <v>23.0</v>
      </c>
      <c r="C157" s="81">
        <v>13.0</v>
      </c>
      <c r="D157" s="81">
        <v>1.0</v>
      </c>
      <c r="E157" s="97"/>
      <c r="F157" s="97"/>
      <c r="G157" s="14"/>
    </row>
    <row r="158">
      <c r="A158" s="81">
        <v>11.0</v>
      </c>
      <c r="B158" s="81">
        <v>23.0</v>
      </c>
      <c r="C158" s="81">
        <v>14.0</v>
      </c>
      <c r="D158" s="81">
        <v>4.0</v>
      </c>
      <c r="E158" s="97"/>
      <c r="F158" s="97"/>
      <c r="G158" s="14"/>
    </row>
    <row r="159">
      <c r="A159" s="81">
        <v>11.0</v>
      </c>
      <c r="B159" s="81">
        <v>23.0</v>
      </c>
      <c r="C159" s="81">
        <v>15.0</v>
      </c>
      <c r="D159" s="81">
        <v>4.0</v>
      </c>
      <c r="E159" s="97"/>
      <c r="F159" s="97"/>
      <c r="G159" s="14"/>
    </row>
    <row r="160">
      <c r="A160" s="81">
        <v>11.0</v>
      </c>
      <c r="B160" s="81">
        <v>23.0</v>
      </c>
      <c r="C160" s="81">
        <v>16.0</v>
      </c>
      <c r="D160" s="81">
        <v>3.0</v>
      </c>
      <c r="E160" s="97"/>
      <c r="F160" s="97"/>
      <c r="G160" s="14"/>
    </row>
    <row r="161">
      <c r="A161" s="81">
        <v>11.0</v>
      </c>
      <c r="B161" s="81">
        <v>23.0</v>
      </c>
      <c r="C161" s="81">
        <v>17.0</v>
      </c>
      <c r="D161" s="81">
        <v>3.0</v>
      </c>
      <c r="E161" s="97"/>
      <c r="F161" s="97"/>
      <c r="G161" s="14"/>
    </row>
    <row r="162">
      <c r="A162" s="81">
        <v>11.0</v>
      </c>
      <c r="B162" s="81">
        <v>23.0</v>
      </c>
      <c r="C162" s="81">
        <v>18.0</v>
      </c>
      <c r="D162" s="81">
        <v>3.0</v>
      </c>
      <c r="E162" s="97"/>
      <c r="F162" s="97"/>
      <c r="G162" s="14"/>
    </row>
    <row r="163">
      <c r="A163" s="81">
        <v>11.0</v>
      </c>
      <c r="B163" s="81">
        <v>23.0</v>
      </c>
      <c r="C163" s="81">
        <v>19.0</v>
      </c>
      <c r="D163" s="81">
        <v>3.0</v>
      </c>
      <c r="E163" s="97"/>
      <c r="F163" s="97"/>
      <c r="G163" s="14"/>
    </row>
    <row r="164">
      <c r="A164" s="81">
        <v>11.0</v>
      </c>
      <c r="B164" s="81">
        <v>23.0</v>
      </c>
      <c r="C164" s="81">
        <v>20.0</v>
      </c>
      <c r="D164" s="81">
        <v>4.0</v>
      </c>
      <c r="E164" s="97"/>
      <c r="F164" s="97"/>
      <c r="G164" s="14"/>
    </row>
    <row r="165">
      <c r="A165" s="81">
        <v>11.0</v>
      </c>
      <c r="B165" s="81">
        <v>23.0</v>
      </c>
      <c r="C165" s="81">
        <v>21.0</v>
      </c>
      <c r="D165" s="81">
        <v>5.0</v>
      </c>
      <c r="E165" s="97"/>
      <c r="F165" s="97"/>
      <c r="G165" s="14"/>
    </row>
    <row r="166">
      <c r="A166" s="81">
        <v>11.0</v>
      </c>
      <c r="B166" s="81">
        <v>23.0</v>
      </c>
      <c r="C166" s="81">
        <v>22.0</v>
      </c>
      <c r="D166" s="81">
        <v>5.0</v>
      </c>
      <c r="E166" s="97"/>
      <c r="F166" s="97"/>
      <c r="G166" s="14">
        <f>average(D145:D166)</f>
        <v>3.545454545</v>
      </c>
    </row>
    <row r="167">
      <c r="A167" s="81">
        <v>12.0</v>
      </c>
      <c r="B167" s="81">
        <v>24.0</v>
      </c>
      <c r="C167" s="81">
        <v>1.0</v>
      </c>
      <c r="D167" s="81">
        <v>2.0</v>
      </c>
      <c r="E167" s="97"/>
      <c r="F167" s="97"/>
      <c r="G167" s="14"/>
    </row>
    <row r="168">
      <c r="A168" s="81">
        <v>12.0</v>
      </c>
      <c r="B168" s="81">
        <v>24.0</v>
      </c>
      <c r="C168" s="81">
        <v>2.0</v>
      </c>
      <c r="D168" s="81">
        <v>3.0</v>
      </c>
      <c r="E168" s="97"/>
      <c r="F168" s="97"/>
      <c r="G168" s="14"/>
    </row>
    <row r="169">
      <c r="A169" s="81">
        <v>12.0</v>
      </c>
      <c r="B169" s="81">
        <v>24.0</v>
      </c>
      <c r="C169" s="81">
        <v>3.0</v>
      </c>
      <c r="D169" s="81">
        <v>3.0</v>
      </c>
      <c r="E169" s="97"/>
      <c r="F169" s="97"/>
      <c r="G169" s="14"/>
    </row>
    <row r="170">
      <c r="A170" s="81">
        <v>12.0</v>
      </c>
      <c r="B170" s="81">
        <v>24.0</v>
      </c>
      <c r="C170" s="81">
        <v>4.0</v>
      </c>
      <c r="D170" s="81">
        <v>4.0</v>
      </c>
      <c r="E170" s="97"/>
      <c r="F170" s="97"/>
      <c r="G170" s="14"/>
    </row>
    <row r="171">
      <c r="A171" s="81">
        <v>12.0</v>
      </c>
      <c r="B171" s="81">
        <v>24.0</v>
      </c>
      <c r="C171" s="81">
        <v>5.0</v>
      </c>
      <c r="D171" s="81">
        <v>3.0</v>
      </c>
      <c r="E171" s="97"/>
      <c r="F171" s="97"/>
      <c r="G171" s="14"/>
    </row>
    <row r="172">
      <c r="A172" s="81">
        <v>12.0</v>
      </c>
      <c r="B172" s="81">
        <v>24.0</v>
      </c>
      <c r="C172" s="81">
        <v>6.0</v>
      </c>
      <c r="D172" s="81">
        <v>2.0</v>
      </c>
      <c r="E172" s="97"/>
      <c r="F172" s="97"/>
      <c r="G172" s="14"/>
    </row>
    <row r="173">
      <c r="A173" s="81">
        <v>12.0</v>
      </c>
      <c r="B173" s="81">
        <v>24.0</v>
      </c>
      <c r="C173" s="81">
        <v>7.0</v>
      </c>
      <c r="D173" s="81">
        <v>4.0</v>
      </c>
      <c r="E173" s="97"/>
      <c r="F173" s="97"/>
      <c r="G173" s="14"/>
    </row>
    <row r="174">
      <c r="A174" s="81">
        <v>12.0</v>
      </c>
      <c r="B174" s="81">
        <v>24.0</v>
      </c>
      <c r="C174" s="81">
        <v>8.0</v>
      </c>
      <c r="D174" s="81">
        <v>2.0</v>
      </c>
      <c r="E174" s="97"/>
      <c r="F174" s="97"/>
      <c r="G174" s="14"/>
    </row>
    <row r="175">
      <c r="A175" s="81">
        <v>12.0</v>
      </c>
      <c r="B175" s="81">
        <v>24.0</v>
      </c>
      <c r="C175" s="81">
        <v>9.0</v>
      </c>
      <c r="D175" s="81">
        <v>1.0</v>
      </c>
      <c r="E175" s="97"/>
      <c r="F175" s="97"/>
      <c r="G175" s="14"/>
    </row>
    <row r="176">
      <c r="A176" s="81">
        <v>12.0</v>
      </c>
      <c r="B176" s="81">
        <v>24.0</v>
      </c>
      <c r="C176" s="81">
        <v>10.0</v>
      </c>
      <c r="D176" s="81">
        <v>2.0</v>
      </c>
      <c r="E176" s="97"/>
      <c r="F176" s="97"/>
      <c r="G176" s="14"/>
    </row>
    <row r="177">
      <c r="A177" s="81">
        <v>12.0</v>
      </c>
      <c r="B177" s="81">
        <v>24.0</v>
      </c>
      <c r="C177" s="81">
        <v>11.0</v>
      </c>
      <c r="D177" s="81">
        <v>3.0</v>
      </c>
      <c r="E177" s="97"/>
      <c r="F177" s="97"/>
      <c r="G177" s="14"/>
    </row>
    <row r="178">
      <c r="A178" s="81">
        <v>12.0</v>
      </c>
      <c r="B178" s="81">
        <v>24.0</v>
      </c>
      <c r="C178" s="81">
        <v>12.0</v>
      </c>
      <c r="D178" s="81">
        <v>1.0</v>
      </c>
      <c r="E178" s="97"/>
      <c r="F178" s="97"/>
      <c r="G178" s="14"/>
    </row>
    <row r="179">
      <c r="A179" s="81">
        <v>12.0</v>
      </c>
      <c r="B179" s="81">
        <v>24.0</v>
      </c>
      <c r="C179" s="81">
        <v>13.0</v>
      </c>
      <c r="D179" s="81">
        <v>4.0</v>
      </c>
      <c r="E179" s="97"/>
      <c r="F179" s="97"/>
      <c r="G179" s="14"/>
    </row>
    <row r="180">
      <c r="A180" s="81">
        <v>12.0</v>
      </c>
      <c r="B180" s="81">
        <v>24.0</v>
      </c>
      <c r="C180" s="81">
        <v>14.0</v>
      </c>
      <c r="D180" s="81">
        <v>2.0</v>
      </c>
      <c r="E180" s="97"/>
      <c r="F180" s="97"/>
      <c r="G180" s="14"/>
    </row>
    <row r="181">
      <c r="A181" s="81">
        <v>12.0</v>
      </c>
      <c r="B181" s="81">
        <v>24.0</v>
      </c>
      <c r="C181" s="81">
        <v>15.0</v>
      </c>
      <c r="D181" s="81">
        <v>2.0</v>
      </c>
      <c r="E181" s="97"/>
      <c r="F181" s="97"/>
      <c r="G181" s="14"/>
    </row>
    <row r="182">
      <c r="A182" s="81">
        <v>12.0</v>
      </c>
      <c r="B182" s="81">
        <v>24.0</v>
      </c>
      <c r="C182" s="81">
        <v>16.0</v>
      </c>
      <c r="D182" s="81">
        <v>3.0</v>
      </c>
      <c r="E182" s="97"/>
      <c r="F182" s="97"/>
      <c r="G182" s="14"/>
    </row>
    <row r="183">
      <c r="A183" s="81">
        <v>12.0</v>
      </c>
      <c r="B183" s="81">
        <v>24.0</v>
      </c>
      <c r="C183" s="81">
        <v>17.0</v>
      </c>
      <c r="D183" s="81">
        <v>1.0</v>
      </c>
      <c r="E183" s="97"/>
      <c r="F183" s="97"/>
      <c r="G183" s="14"/>
    </row>
    <row r="184">
      <c r="A184" s="81">
        <v>12.0</v>
      </c>
      <c r="B184" s="81">
        <v>24.0</v>
      </c>
      <c r="C184" s="81">
        <v>18.0</v>
      </c>
      <c r="D184" s="81">
        <v>3.0</v>
      </c>
      <c r="E184" s="97"/>
      <c r="F184" s="97"/>
      <c r="G184" s="14"/>
    </row>
    <row r="185">
      <c r="A185" s="81">
        <v>12.0</v>
      </c>
      <c r="B185" s="81">
        <v>24.0</v>
      </c>
      <c r="C185" s="81">
        <v>19.0</v>
      </c>
      <c r="D185" s="81">
        <v>6.0</v>
      </c>
      <c r="E185" s="97"/>
      <c r="F185" s="97"/>
      <c r="G185" s="14"/>
    </row>
    <row r="186">
      <c r="A186" s="81">
        <v>12.0</v>
      </c>
      <c r="B186" s="81">
        <v>24.0</v>
      </c>
      <c r="C186" s="81">
        <v>20.0</v>
      </c>
      <c r="D186" s="81">
        <v>3.0</v>
      </c>
      <c r="E186" s="97"/>
      <c r="F186" s="97"/>
      <c r="G186" s="14"/>
    </row>
    <row r="187">
      <c r="A187" s="81">
        <v>12.0</v>
      </c>
      <c r="B187" s="81">
        <v>24.0</v>
      </c>
      <c r="C187" s="81">
        <v>21.0</v>
      </c>
      <c r="D187" s="81">
        <v>7.0</v>
      </c>
      <c r="E187" s="97"/>
      <c r="F187" s="97"/>
      <c r="G187" s="14"/>
    </row>
    <row r="188">
      <c r="A188" s="81">
        <v>12.0</v>
      </c>
      <c r="B188" s="81">
        <v>24.0</v>
      </c>
      <c r="C188" s="81">
        <v>22.0</v>
      </c>
      <c r="D188" s="81">
        <v>2.0</v>
      </c>
      <c r="E188" s="97"/>
      <c r="F188" s="97"/>
      <c r="G188" s="14"/>
    </row>
    <row r="189">
      <c r="A189" s="81">
        <v>12.0</v>
      </c>
      <c r="B189" s="81">
        <v>24.0</v>
      </c>
      <c r="C189" s="81">
        <v>23.0</v>
      </c>
      <c r="D189" s="81">
        <v>2.0</v>
      </c>
      <c r="E189" s="97"/>
      <c r="F189" s="97"/>
      <c r="G189" s="14"/>
    </row>
    <row r="190">
      <c r="A190" s="81">
        <v>12.0</v>
      </c>
      <c r="B190" s="81">
        <v>24.0</v>
      </c>
      <c r="C190" s="81">
        <v>24.0</v>
      </c>
      <c r="D190" s="81">
        <v>3.0</v>
      </c>
      <c r="E190" s="97"/>
      <c r="F190" s="97"/>
      <c r="G190" s="14"/>
    </row>
    <row r="191">
      <c r="A191" s="81">
        <v>12.0</v>
      </c>
      <c r="B191" s="81">
        <v>24.0</v>
      </c>
      <c r="C191" s="81">
        <v>25.0</v>
      </c>
      <c r="D191" s="81">
        <v>2.0</v>
      </c>
      <c r="E191" s="97"/>
      <c r="F191" s="97"/>
      <c r="G191" s="14"/>
    </row>
    <row r="192">
      <c r="A192" s="81">
        <v>12.0</v>
      </c>
      <c r="B192" s="81">
        <v>24.0</v>
      </c>
      <c r="C192" s="81">
        <v>26.0</v>
      </c>
      <c r="D192" s="81">
        <v>3.0</v>
      </c>
      <c r="E192" s="97"/>
      <c r="F192" s="97"/>
      <c r="G192" s="14">
        <f>average(D167:D192)</f>
        <v>2.807692308</v>
      </c>
    </row>
    <row r="193">
      <c r="A193" s="81">
        <v>10.0</v>
      </c>
      <c r="B193" s="81">
        <v>24.0</v>
      </c>
      <c r="C193" s="81">
        <v>1.0</v>
      </c>
      <c r="D193" s="81">
        <v>3.0</v>
      </c>
      <c r="E193" s="97"/>
      <c r="F193" s="97"/>
      <c r="G193" s="14"/>
    </row>
    <row r="194">
      <c r="A194" s="81">
        <v>10.0</v>
      </c>
      <c r="B194" s="81">
        <v>24.0</v>
      </c>
      <c r="C194" s="81">
        <v>2.0</v>
      </c>
      <c r="D194" s="81">
        <v>2.0</v>
      </c>
      <c r="E194" s="97"/>
      <c r="F194" s="97"/>
      <c r="G194" s="14"/>
    </row>
    <row r="195">
      <c r="A195" s="81">
        <v>10.0</v>
      </c>
      <c r="B195" s="81">
        <v>24.0</v>
      </c>
      <c r="C195" s="81">
        <v>3.0</v>
      </c>
      <c r="D195" s="81">
        <v>2.0</v>
      </c>
      <c r="E195" s="97"/>
      <c r="F195" s="97"/>
      <c r="G195" s="14"/>
    </row>
    <row r="196">
      <c r="A196" s="81">
        <v>10.0</v>
      </c>
      <c r="B196" s="81">
        <v>24.0</v>
      </c>
      <c r="C196" s="81">
        <v>4.0</v>
      </c>
      <c r="D196" s="81">
        <v>4.0</v>
      </c>
      <c r="E196" s="97"/>
      <c r="F196" s="97"/>
      <c r="G196" s="14"/>
    </row>
    <row r="197">
      <c r="A197" s="81">
        <v>10.0</v>
      </c>
      <c r="B197" s="81">
        <v>24.0</v>
      </c>
      <c r="C197" s="81">
        <v>5.0</v>
      </c>
      <c r="D197" s="81">
        <v>1.0</v>
      </c>
      <c r="E197" s="97"/>
      <c r="F197" s="97"/>
      <c r="G197" s="14"/>
    </row>
    <row r="198">
      <c r="A198" s="81">
        <v>10.0</v>
      </c>
      <c r="B198" s="81">
        <v>24.0</v>
      </c>
      <c r="C198" s="81">
        <v>6.0</v>
      </c>
      <c r="D198" s="81">
        <v>2.0</v>
      </c>
      <c r="E198" s="97"/>
      <c r="F198" s="97"/>
      <c r="G198" s="14"/>
    </row>
    <row r="199">
      <c r="A199" s="81">
        <v>10.0</v>
      </c>
      <c r="B199" s="81">
        <v>24.0</v>
      </c>
      <c r="C199" s="81">
        <v>7.0</v>
      </c>
      <c r="D199" s="81">
        <v>2.0</v>
      </c>
      <c r="E199" s="97"/>
      <c r="F199" s="97"/>
      <c r="G199" s="14"/>
    </row>
    <row r="200">
      <c r="A200" s="81">
        <v>10.0</v>
      </c>
      <c r="B200" s="81">
        <v>24.0</v>
      </c>
      <c r="C200" s="81">
        <v>8.0</v>
      </c>
      <c r="D200" s="81">
        <v>3.0</v>
      </c>
      <c r="E200" s="97"/>
      <c r="F200" s="97"/>
      <c r="G200" s="14"/>
    </row>
    <row r="201">
      <c r="A201" s="81">
        <v>10.0</v>
      </c>
      <c r="B201" s="81">
        <v>24.0</v>
      </c>
      <c r="C201" s="81">
        <v>9.0</v>
      </c>
      <c r="D201" s="81">
        <v>1.0</v>
      </c>
      <c r="E201" s="97"/>
      <c r="F201" s="97"/>
      <c r="G201" s="14"/>
    </row>
    <row r="202">
      <c r="A202" s="81">
        <v>10.0</v>
      </c>
      <c r="B202" s="81">
        <v>24.0</v>
      </c>
      <c r="C202" s="81">
        <v>10.0</v>
      </c>
      <c r="D202" s="81">
        <v>2.0</v>
      </c>
      <c r="E202" s="97"/>
      <c r="F202" s="97"/>
      <c r="G202" s="14"/>
    </row>
    <row r="203">
      <c r="A203" s="81">
        <v>10.0</v>
      </c>
      <c r="B203" s="81">
        <v>24.0</v>
      </c>
      <c r="C203" s="81">
        <v>11.0</v>
      </c>
      <c r="D203" s="81">
        <v>1.0</v>
      </c>
      <c r="E203" s="97"/>
      <c r="F203" s="97"/>
      <c r="G203" s="14"/>
    </row>
    <row r="204">
      <c r="A204" s="81">
        <v>10.0</v>
      </c>
      <c r="B204" s="81">
        <v>24.0</v>
      </c>
      <c r="C204" s="81">
        <v>12.0</v>
      </c>
      <c r="D204" s="81">
        <v>3.0</v>
      </c>
      <c r="E204" s="97"/>
      <c r="F204" s="97"/>
      <c r="G204" s="14"/>
    </row>
    <row r="205">
      <c r="A205" s="81">
        <v>10.0</v>
      </c>
      <c r="B205" s="81">
        <v>24.0</v>
      </c>
      <c r="C205" s="81">
        <v>13.0</v>
      </c>
      <c r="D205" s="81">
        <v>1.0</v>
      </c>
      <c r="E205" s="97"/>
      <c r="F205" s="97"/>
      <c r="G205" s="14"/>
    </row>
    <row r="206">
      <c r="A206" s="81">
        <v>10.0</v>
      </c>
      <c r="B206" s="81">
        <v>24.0</v>
      </c>
      <c r="C206" s="81">
        <v>14.0</v>
      </c>
      <c r="D206" s="81">
        <v>2.0</v>
      </c>
      <c r="E206" s="97"/>
      <c r="F206" s="97"/>
      <c r="G206" s="14"/>
    </row>
    <row r="207">
      <c r="A207" s="81">
        <v>10.0</v>
      </c>
      <c r="B207" s="81">
        <v>24.0</v>
      </c>
      <c r="C207" s="81">
        <v>15.0</v>
      </c>
      <c r="D207" s="81">
        <v>2.0</v>
      </c>
      <c r="E207" s="97"/>
      <c r="F207" s="97"/>
      <c r="G207" s="14"/>
    </row>
    <row r="208">
      <c r="A208" s="81">
        <v>10.0</v>
      </c>
      <c r="B208" s="81">
        <v>24.0</v>
      </c>
      <c r="C208" s="81">
        <v>16.0</v>
      </c>
      <c r="D208" s="81">
        <v>3.0</v>
      </c>
      <c r="E208" s="97"/>
      <c r="F208" s="97"/>
      <c r="G208" s="14"/>
    </row>
    <row r="209">
      <c r="A209" s="81">
        <v>10.0</v>
      </c>
      <c r="B209" s="81">
        <v>24.0</v>
      </c>
      <c r="C209" s="81">
        <v>17.0</v>
      </c>
      <c r="D209" s="81">
        <v>4.0</v>
      </c>
      <c r="E209" s="97"/>
      <c r="F209" s="97"/>
      <c r="G209" s="14"/>
    </row>
    <row r="210">
      <c r="A210" s="81">
        <v>10.0</v>
      </c>
      <c r="B210" s="81">
        <v>24.0</v>
      </c>
      <c r="C210" s="81">
        <v>18.0</v>
      </c>
      <c r="D210" s="81">
        <v>5.0</v>
      </c>
      <c r="E210" s="97"/>
      <c r="F210" s="97"/>
      <c r="G210" s="14"/>
    </row>
    <row r="211">
      <c r="A211" s="81">
        <v>10.0</v>
      </c>
      <c r="B211" s="81">
        <v>24.0</v>
      </c>
      <c r="C211" s="81">
        <v>19.0</v>
      </c>
      <c r="D211" s="81">
        <v>3.0</v>
      </c>
      <c r="E211" s="97"/>
      <c r="F211" s="97"/>
      <c r="G211" s="14"/>
    </row>
    <row r="212">
      <c r="A212" s="81">
        <v>10.0</v>
      </c>
      <c r="B212" s="81">
        <v>24.0</v>
      </c>
      <c r="C212" s="81">
        <v>20.0</v>
      </c>
      <c r="D212" s="81">
        <v>2.0</v>
      </c>
      <c r="E212" s="97"/>
      <c r="F212" s="97"/>
      <c r="G212" s="14"/>
    </row>
    <row r="213">
      <c r="A213" s="81">
        <v>10.0</v>
      </c>
      <c r="B213" s="81">
        <v>24.0</v>
      </c>
      <c r="C213" s="81">
        <v>21.0</v>
      </c>
      <c r="D213" s="81">
        <v>2.0</v>
      </c>
      <c r="E213" s="97"/>
      <c r="F213" s="97"/>
      <c r="G213" s="14"/>
    </row>
    <row r="214">
      <c r="A214" s="81">
        <v>10.0</v>
      </c>
      <c r="B214" s="81">
        <v>24.0</v>
      </c>
      <c r="C214" s="81">
        <v>22.0</v>
      </c>
      <c r="D214" s="81">
        <v>2.0</v>
      </c>
      <c r="E214" s="97"/>
      <c r="F214" s="97"/>
      <c r="G214" s="14"/>
    </row>
    <row r="215">
      <c r="A215" s="81">
        <v>10.0</v>
      </c>
      <c r="B215" s="81">
        <v>24.0</v>
      </c>
      <c r="C215" s="81">
        <v>23.0</v>
      </c>
      <c r="D215" s="81">
        <v>2.0</v>
      </c>
      <c r="E215" s="97"/>
      <c r="F215" s="97"/>
      <c r="G215" s="14"/>
    </row>
    <row r="216">
      <c r="A216" s="81">
        <v>10.0</v>
      </c>
      <c r="B216" s="81">
        <v>24.0</v>
      </c>
      <c r="C216" s="81">
        <v>24.0</v>
      </c>
      <c r="D216" s="81">
        <v>2.0</v>
      </c>
      <c r="E216" s="97"/>
      <c r="F216" s="97"/>
      <c r="G216" s="14">
        <f>average(D193:D216)</f>
        <v>2.333333333</v>
      </c>
    </row>
    <row r="217">
      <c r="A217" s="81">
        <v>9.0</v>
      </c>
      <c r="B217" s="81">
        <v>24.0</v>
      </c>
      <c r="C217" s="81">
        <v>1.0</v>
      </c>
      <c r="D217" s="81">
        <v>5.0</v>
      </c>
      <c r="E217" s="97"/>
      <c r="F217" s="97"/>
      <c r="G217" s="14"/>
    </row>
    <row r="218">
      <c r="A218" s="81">
        <v>9.0</v>
      </c>
      <c r="B218" s="81">
        <v>24.0</v>
      </c>
      <c r="C218" s="81">
        <v>2.0</v>
      </c>
      <c r="D218" s="81">
        <v>5.0</v>
      </c>
      <c r="E218" s="97"/>
      <c r="F218" s="97"/>
      <c r="G218" s="14"/>
    </row>
    <row r="219">
      <c r="A219" s="81">
        <v>9.0</v>
      </c>
      <c r="B219" s="81">
        <v>24.0</v>
      </c>
      <c r="C219" s="81">
        <v>3.0</v>
      </c>
      <c r="D219" s="81">
        <v>5.0</v>
      </c>
      <c r="E219" s="97"/>
      <c r="F219" s="97"/>
      <c r="G219" s="14"/>
    </row>
    <row r="220">
      <c r="A220" s="81">
        <v>9.0</v>
      </c>
      <c r="B220" s="81">
        <v>24.0</v>
      </c>
      <c r="C220" s="81">
        <v>4.0</v>
      </c>
      <c r="D220" s="81">
        <v>2.0</v>
      </c>
      <c r="E220" s="97"/>
      <c r="F220" s="97"/>
      <c r="G220" s="14"/>
    </row>
    <row r="221">
      <c r="A221" s="81">
        <v>9.0</v>
      </c>
      <c r="B221" s="81">
        <v>24.0</v>
      </c>
      <c r="C221" s="81">
        <v>5.0</v>
      </c>
      <c r="D221" s="81">
        <v>2.0</v>
      </c>
      <c r="E221" s="97"/>
      <c r="F221" s="97"/>
      <c r="G221" s="14"/>
    </row>
    <row r="222">
      <c r="A222" s="81">
        <v>9.0</v>
      </c>
      <c r="B222" s="81">
        <v>24.0</v>
      </c>
      <c r="C222" s="81">
        <v>6.0</v>
      </c>
      <c r="D222" s="81">
        <v>2.0</v>
      </c>
      <c r="E222" s="97"/>
      <c r="F222" s="97"/>
      <c r="G222" s="14"/>
    </row>
    <row r="223">
      <c r="A223" s="81">
        <v>9.0</v>
      </c>
      <c r="B223" s="81">
        <v>24.0</v>
      </c>
      <c r="C223" s="81">
        <v>7.0</v>
      </c>
      <c r="D223" s="81">
        <v>3.0</v>
      </c>
      <c r="E223" s="97"/>
      <c r="F223" s="97"/>
      <c r="G223" s="14"/>
    </row>
    <row r="224">
      <c r="A224" s="81">
        <v>9.0</v>
      </c>
      <c r="B224" s="81">
        <v>24.0</v>
      </c>
      <c r="C224" s="81">
        <v>8.0</v>
      </c>
      <c r="D224" s="81">
        <v>4.0</v>
      </c>
      <c r="E224" s="97"/>
      <c r="F224" s="97"/>
      <c r="G224" s="14"/>
    </row>
    <row r="225">
      <c r="A225" s="81">
        <v>9.0</v>
      </c>
      <c r="B225" s="81">
        <v>24.0</v>
      </c>
      <c r="C225" s="81">
        <v>9.0</v>
      </c>
      <c r="D225" s="81">
        <v>1.0</v>
      </c>
      <c r="E225" s="97"/>
      <c r="F225" s="97"/>
      <c r="G225" s="14"/>
    </row>
    <row r="226">
      <c r="A226" s="81">
        <v>9.0</v>
      </c>
      <c r="B226" s="81">
        <v>24.0</v>
      </c>
      <c r="C226" s="81">
        <v>10.0</v>
      </c>
      <c r="D226" s="81">
        <v>4.0</v>
      </c>
      <c r="E226" s="97"/>
      <c r="F226" s="97"/>
      <c r="G226" s="14"/>
    </row>
    <row r="227">
      <c r="A227" s="81">
        <v>9.0</v>
      </c>
      <c r="B227" s="81">
        <v>24.0</v>
      </c>
      <c r="C227" s="81">
        <v>11.0</v>
      </c>
      <c r="D227" s="81">
        <v>2.0</v>
      </c>
      <c r="E227" s="97"/>
      <c r="F227" s="97"/>
      <c r="G227" s="14"/>
    </row>
    <row r="228">
      <c r="A228" s="81">
        <v>9.0</v>
      </c>
      <c r="B228" s="81">
        <v>24.0</v>
      </c>
      <c r="C228" s="81">
        <v>12.0</v>
      </c>
      <c r="D228" s="81">
        <v>3.0</v>
      </c>
      <c r="E228" s="97"/>
      <c r="F228" s="97"/>
      <c r="G228" s="14"/>
    </row>
    <row r="229">
      <c r="A229" s="81">
        <v>9.0</v>
      </c>
      <c r="B229" s="81">
        <v>24.0</v>
      </c>
      <c r="C229" s="81">
        <v>13.0</v>
      </c>
      <c r="D229" s="81">
        <v>2.0</v>
      </c>
      <c r="E229" s="97"/>
      <c r="F229" s="97"/>
      <c r="G229" s="14"/>
    </row>
    <row r="230">
      <c r="A230" s="81">
        <v>9.0</v>
      </c>
      <c r="B230" s="81">
        <v>24.0</v>
      </c>
      <c r="C230" s="81">
        <v>14.0</v>
      </c>
      <c r="D230" s="81">
        <v>4.0</v>
      </c>
      <c r="E230" s="97"/>
      <c r="F230" s="97"/>
      <c r="G230" s="14"/>
    </row>
    <row r="231">
      <c r="A231" s="81">
        <v>9.0</v>
      </c>
      <c r="B231" s="81">
        <v>24.0</v>
      </c>
      <c r="C231" s="81">
        <v>15.0</v>
      </c>
      <c r="D231" s="81">
        <v>7.0</v>
      </c>
      <c r="E231" s="97"/>
      <c r="F231" s="97"/>
      <c r="G231" s="14"/>
    </row>
    <row r="232">
      <c r="A232" s="81">
        <v>9.0</v>
      </c>
      <c r="B232" s="81">
        <v>24.0</v>
      </c>
      <c r="C232" s="81">
        <v>16.0</v>
      </c>
      <c r="D232" s="81">
        <v>5.0</v>
      </c>
      <c r="E232" s="97"/>
      <c r="F232" s="97"/>
      <c r="G232" s="14"/>
    </row>
    <row r="233">
      <c r="A233" s="81">
        <v>9.0</v>
      </c>
      <c r="B233" s="81">
        <v>24.0</v>
      </c>
      <c r="C233" s="81">
        <v>17.0</v>
      </c>
      <c r="D233" s="81">
        <v>7.0</v>
      </c>
      <c r="E233" s="97"/>
      <c r="F233" s="97"/>
      <c r="G233" s="14"/>
    </row>
    <row r="234">
      <c r="A234" s="81">
        <v>9.0</v>
      </c>
      <c r="B234" s="81">
        <v>24.0</v>
      </c>
      <c r="C234" s="81">
        <v>18.0</v>
      </c>
      <c r="D234" s="81">
        <v>3.0</v>
      </c>
      <c r="E234" s="97"/>
      <c r="F234" s="97"/>
      <c r="G234" s="14"/>
    </row>
    <row r="235">
      <c r="A235" s="81">
        <v>9.0</v>
      </c>
      <c r="B235" s="81">
        <v>24.0</v>
      </c>
      <c r="C235" s="81">
        <v>19.0</v>
      </c>
      <c r="D235" s="81">
        <v>3.0</v>
      </c>
      <c r="E235" s="97"/>
      <c r="F235" s="97"/>
      <c r="G235" s="14"/>
    </row>
    <row r="236">
      <c r="A236" s="81">
        <v>9.0</v>
      </c>
      <c r="B236" s="81">
        <v>24.0</v>
      </c>
      <c r="C236" s="81">
        <v>20.0</v>
      </c>
      <c r="D236" s="81">
        <v>3.0</v>
      </c>
      <c r="E236" s="97"/>
      <c r="F236" s="97"/>
      <c r="G236" s="14"/>
    </row>
    <row r="237">
      <c r="A237" s="81">
        <v>9.0</v>
      </c>
      <c r="B237" s="81">
        <v>24.0</v>
      </c>
      <c r="C237" s="81">
        <v>21.0</v>
      </c>
      <c r="D237" s="81">
        <v>4.0</v>
      </c>
      <c r="E237" s="97"/>
      <c r="F237" s="97"/>
      <c r="G237" s="14"/>
    </row>
    <row r="238">
      <c r="A238" s="81">
        <v>9.0</v>
      </c>
      <c r="B238" s="81">
        <v>24.0</v>
      </c>
      <c r="C238" s="81">
        <v>22.0</v>
      </c>
      <c r="D238" s="81">
        <v>3.0</v>
      </c>
      <c r="E238" s="97"/>
      <c r="F238" s="97"/>
      <c r="G238" s="14"/>
    </row>
    <row r="239">
      <c r="A239" s="81">
        <v>9.0</v>
      </c>
      <c r="B239" s="81">
        <v>24.0</v>
      </c>
      <c r="C239" s="81">
        <v>23.0</v>
      </c>
      <c r="D239" s="81">
        <v>3.0</v>
      </c>
      <c r="E239" s="97"/>
      <c r="F239" s="97"/>
      <c r="G239" s="14"/>
    </row>
    <row r="240">
      <c r="A240" s="81">
        <v>9.0</v>
      </c>
      <c r="B240" s="81">
        <v>24.0</v>
      </c>
      <c r="C240" s="81">
        <v>24.0</v>
      </c>
      <c r="D240" s="81">
        <v>2.0</v>
      </c>
      <c r="E240" s="97"/>
      <c r="F240" s="97"/>
      <c r="G240" s="14"/>
    </row>
    <row r="241">
      <c r="A241" s="81">
        <v>9.0</v>
      </c>
      <c r="B241" s="81">
        <v>24.0</v>
      </c>
      <c r="C241" s="81">
        <v>25.0</v>
      </c>
      <c r="D241" s="81">
        <v>1.0</v>
      </c>
      <c r="E241" s="97"/>
      <c r="F241" s="97"/>
      <c r="G241" s="14">
        <f>average(D217:D241)</f>
        <v>3.4</v>
      </c>
    </row>
    <row r="242">
      <c r="A242" s="92" t="s">
        <v>245</v>
      </c>
      <c r="B242" s="38"/>
      <c r="C242" s="38"/>
      <c r="D242" s="38"/>
      <c r="E242" s="38"/>
      <c r="F242" s="39"/>
      <c r="G242" s="14"/>
    </row>
    <row r="243">
      <c r="A243" s="94" t="s">
        <v>0</v>
      </c>
      <c r="B243" s="95" t="s">
        <v>336</v>
      </c>
      <c r="C243" s="95" t="s">
        <v>337</v>
      </c>
      <c r="D243" s="95" t="s">
        <v>338</v>
      </c>
      <c r="E243" s="95" t="s">
        <v>339</v>
      </c>
      <c r="F243" s="96" t="s">
        <v>340</v>
      </c>
      <c r="G243" s="14"/>
    </row>
    <row r="244">
      <c r="A244" s="81">
        <v>12.0</v>
      </c>
      <c r="B244" s="97"/>
      <c r="C244" s="81">
        <v>1.0</v>
      </c>
      <c r="D244" s="81">
        <v>5.0</v>
      </c>
      <c r="E244" s="97"/>
      <c r="F244" s="97" t="s">
        <v>198</v>
      </c>
      <c r="G244" s="14"/>
    </row>
    <row r="245">
      <c r="A245" s="81">
        <v>12.0</v>
      </c>
      <c r="B245" s="97"/>
      <c r="C245" s="81">
        <v>2.0</v>
      </c>
      <c r="D245" s="81">
        <v>4.0</v>
      </c>
      <c r="E245" s="97"/>
      <c r="F245" s="97" t="s">
        <v>198</v>
      </c>
      <c r="G245" s="14"/>
    </row>
    <row r="246">
      <c r="A246" s="81">
        <v>12.0</v>
      </c>
      <c r="B246" s="97"/>
      <c r="C246" s="81">
        <v>3.0</v>
      </c>
      <c r="D246" s="81">
        <v>7.0</v>
      </c>
      <c r="E246" s="97"/>
      <c r="F246" s="97" t="s">
        <v>198</v>
      </c>
      <c r="G246" s="14"/>
    </row>
    <row r="247">
      <c r="A247" s="81">
        <v>12.0</v>
      </c>
      <c r="B247" s="97"/>
      <c r="C247" s="81">
        <v>4.0</v>
      </c>
      <c r="D247" s="81">
        <v>8.0</v>
      </c>
      <c r="E247" s="97"/>
      <c r="F247" s="97" t="s">
        <v>198</v>
      </c>
      <c r="G247" s="14"/>
    </row>
    <row r="248">
      <c r="A248" s="81">
        <v>12.0</v>
      </c>
      <c r="B248" s="97"/>
      <c r="C248" s="81">
        <v>5.0</v>
      </c>
      <c r="D248" s="81">
        <v>6.0</v>
      </c>
      <c r="E248" s="97"/>
      <c r="F248" s="97" t="s">
        <v>198</v>
      </c>
      <c r="G248" s="14"/>
    </row>
    <row r="249">
      <c r="A249" s="81">
        <v>12.0</v>
      </c>
      <c r="B249" s="97"/>
      <c r="C249" s="81">
        <v>6.0</v>
      </c>
      <c r="D249" s="81">
        <v>4.0</v>
      </c>
      <c r="E249" s="97"/>
      <c r="F249" s="97" t="s">
        <v>198</v>
      </c>
      <c r="G249" s="14"/>
    </row>
    <row r="250">
      <c r="A250" s="81">
        <v>12.0</v>
      </c>
      <c r="B250" s="97"/>
      <c r="C250" s="81">
        <v>7.0</v>
      </c>
      <c r="D250" s="81">
        <v>3.0</v>
      </c>
      <c r="E250" s="97"/>
      <c r="F250" s="97" t="s">
        <v>198</v>
      </c>
      <c r="G250" s="14"/>
    </row>
    <row r="251">
      <c r="A251" s="81">
        <v>12.0</v>
      </c>
      <c r="B251" s="97"/>
      <c r="C251" s="81">
        <v>8.0</v>
      </c>
      <c r="D251" s="81">
        <v>7.0</v>
      </c>
      <c r="E251" s="97"/>
      <c r="F251" s="97" t="s">
        <v>198</v>
      </c>
      <c r="G251" s="14"/>
    </row>
    <row r="252">
      <c r="A252" s="81">
        <v>12.0</v>
      </c>
      <c r="B252" s="97"/>
      <c r="C252" s="81">
        <v>9.0</v>
      </c>
      <c r="D252" s="81">
        <v>5.0</v>
      </c>
      <c r="E252" s="97"/>
      <c r="F252" s="97" t="s">
        <v>198</v>
      </c>
      <c r="G252" s="14"/>
    </row>
    <row r="253">
      <c r="A253" s="81">
        <v>12.0</v>
      </c>
      <c r="B253" s="97"/>
      <c r="C253" s="81">
        <v>10.0</v>
      </c>
      <c r="D253" s="81">
        <v>5.0</v>
      </c>
      <c r="E253" s="97"/>
      <c r="F253" s="97" t="s">
        <v>198</v>
      </c>
      <c r="G253" s="14"/>
    </row>
    <row r="254">
      <c r="A254" s="81">
        <v>12.0</v>
      </c>
      <c r="B254" s="97"/>
      <c r="C254" s="81">
        <v>11.0</v>
      </c>
      <c r="D254" s="81">
        <v>7.0</v>
      </c>
      <c r="E254" s="97"/>
      <c r="F254" s="97" t="s">
        <v>198</v>
      </c>
      <c r="G254" s="14"/>
    </row>
    <row r="255">
      <c r="A255" s="81">
        <v>12.0</v>
      </c>
      <c r="B255" s="97"/>
      <c r="C255" s="81">
        <v>12.0</v>
      </c>
      <c r="D255" s="81">
        <v>4.0</v>
      </c>
      <c r="E255" s="97"/>
      <c r="F255" s="97" t="s">
        <v>198</v>
      </c>
      <c r="G255" s="14"/>
    </row>
    <row r="256">
      <c r="A256" s="81">
        <v>12.0</v>
      </c>
      <c r="B256" s="97"/>
      <c r="C256" s="81">
        <v>13.0</v>
      </c>
      <c r="D256" s="81">
        <v>6.0</v>
      </c>
      <c r="E256" s="97"/>
      <c r="F256" s="97" t="s">
        <v>198</v>
      </c>
      <c r="G256" s="14"/>
    </row>
    <row r="257">
      <c r="A257" s="81">
        <v>12.0</v>
      </c>
      <c r="B257" s="97"/>
      <c r="C257" s="81">
        <v>14.0</v>
      </c>
      <c r="D257" s="81">
        <v>9.0</v>
      </c>
      <c r="E257" s="97"/>
      <c r="F257" s="97" t="s">
        <v>198</v>
      </c>
      <c r="G257" s="14"/>
    </row>
    <row r="258">
      <c r="A258" s="81">
        <v>12.0</v>
      </c>
      <c r="B258" s="97"/>
      <c r="C258" s="81">
        <v>15.0</v>
      </c>
      <c r="D258" s="81">
        <v>6.0</v>
      </c>
      <c r="E258" s="97"/>
      <c r="F258" s="97" t="s">
        <v>198</v>
      </c>
      <c r="G258" s="14"/>
    </row>
    <row r="259">
      <c r="A259" s="81">
        <v>12.0</v>
      </c>
      <c r="B259" s="97"/>
      <c r="C259" s="81">
        <v>16.0</v>
      </c>
      <c r="D259" s="81">
        <v>4.0</v>
      </c>
      <c r="E259" s="97"/>
      <c r="F259" s="97" t="s">
        <v>198</v>
      </c>
      <c r="G259" s="14"/>
    </row>
    <row r="260">
      <c r="A260" s="81">
        <v>12.0</v>
      </c>
      <c r="B260" s="97"/>
      <c r="C260" s="81">
        <v>17.0</v>
      </c>
      <c r="D260" s="81">
        <v>5.0</v>
      </c>
      <c r="E260" s="97"/>
      <c r="F260" s="97" t="s">
        <v>198</v>
      </c>
      <c r="G260" s="14"/>
    </row>
    <row r="261">
      <c r="A261" s="81">
        <v>12.0</v>
      </c>
      <c r="B261" s="97"/>
      <c r="C261" s="81">
        <v>18.0</v>
      </c>
      <c r="D261" s="81">
        <v>9.0</v>
      </c>
      <c r="E261" s="97"/>
      <c r="F261" s="97" t="s">
        <v>198</v>
      </c>
      <c r="G261" s="14"/>
    </row>
    <row r="262">
      <c r="A262" s="81">
        <v>12.0</v>
      </c>
      <c r="B262" s="97"/>
      <c r="C262" s="81">
        <v>19.0</v>
      </c>
      <c r="D262" s="81">
        <v>3.0</v>
      </c>
      <c r="E262" s="97"/>
      <c r="F262" s="97" t="s">
        <v>198</v>
      </c>
      <c r="G262" s="14"/>
    </row>
    <row r="263">
      <c r="A263" s="81">
        <v>12.0</v>
      </c>
      <c r="B263" s="97"/>
      <c r="C263" s="81">
        <v>20.0</v>
      </c>
      <c r="D263" s="81">
        <v>4.0</v>
      </c>
      <c r="E263" s="97"/>
      <c r="F263" s="97" t="s">
        <v>198</v>
      </c>
      <c r="G263" s="14">
        <f>average(D244:D263)</f>
        <v>5.55</v>
      </c>
    </row>
    <row r="264">
      <c r="A264" s="81">
        <v>11.0</v>
      </c>
      <c r="B264" s="81">
        <v>20.0</v>
      </c>
      <c r="C264" s="81">
        <v>1.0</v>
      </c>
      <c r="D264" s="81">
        <v>6.0</v>
      </c>
      <c r="E264" s="97"/>
      <c r="F264" s="97"/>
      <c r="G264" s="14"/>
    </row>
    <row r="265">
      <c r="A265" s="81">
        <v>11.0</v>
      </c>
      <c r="B265" s="81">
        <v>20.0</v>
      </c>
      <c r="C265" s="81">
        <v>2.0</v>
      </c>
      <c r="D265" s="81">
        <v>3.0</v>
      </c>
      <c r="E265" s="97"/>
      <c r="F265" s="97"/>
      <c r="G265" s="14"/>
    </row>
    <row r="266">
      <c r="A266" s="81">
        <v>11.0</v>
      </c>
      <c r="B266" s="81">
        <v>20.0</v>
      </c>
      <c r="C266" s="81">
        <v>3.0</v>
      </c>
      <c r="D266" s="81">
        <v>5.0</v>
      </c>
      <c r="E266" s="97"/>
      <c r="F266" s="97"/>
      <c r="G266" s="14"/>
    </row>
    <row r="267">
      <c r="A267" s="81">
        <v>11.0</v>
      </c>
      <c r="B267" s="81">
        <v>20.0</v>
      </c>
      <c r="C267" s="81">
        <v>4.0</v>
      </c>
      <c r="D267" s="81">
        <v>10.0</v>
      </c>
      <c r="E267" s="97"/>
      <c r="F267" s="97"/>
      <c r="G267" s="14"/>
    </row>
    <row r="268">
      <c r="A268" s="81">
        <v>11.0</v>
      </c>
      <c r="B268" s="81">
        <v>20.0</v>
      </c>
      <c r="C268" s="81">
        <v>5.0</v>
      </c>
      <c r="D268" s="81">
        <v>4.0</v>
      </c>
      <c r="E268" s="97"/>
      <c r="F268" s="97"/>
      <c r="G268" s="14"/>
    </row>
    <row r="269">
      <c r="A269" s="81">
        <v>11.0</v>
      </c>
      <c r="B269" s="81">
        <v>20.0</v>
      </c>
      <c r="C269" s="81">
        <v>6.0</v>
      </c>
      <c r="D269" s="81">
        <v>5.0</v>
      </c>
      <c r="E269" s="97"/>
      <c r="F269" s="97"/>
      <c r="G269" s="14"/>
    </row>
    <row r="270">
      <c r="A270" s="81">
        <v>11.0</v>
      </c>
      <c r="B270" s="81">
        <v>20.0</v>
      </c>
      <c r="C270" s="81">
        <v>7.0</v>
      </c>
      <c r="D270" s="81">
        <v>6.0</v>
      </c>
      <c r="E270" s="97"/>
      <c r="F270" s="97"/>
      <c r="G270" s="14"/>
    </row>
    <row r="271">
      <c r="A271" s="81">
        <v>11.0</v>
      </c>
      <c r="B271" s="81">
        <v>20.0</v>
      </c>
      <c r="C271" s="81">
        <v>8.0</v>
      </c>
      <c r="D271" s="81">
        <v>10.0</v>
      </c>
      <c r="E271" s="97"/>
      <c r="F271" s="97"/>
      <c r="G271" s="14"/>
    </row>
    <row r="272">
      <c r="A272" s="81">
        <v>11.0</v>
      </c>
      <c r="B272" s="81">
        <v>20.0</v>
      </c>
      <c r="C272" s="81">
        <v>9.0</v>
      </c>
      <c r="D272" s="81">
        <v>6.0</v>
      </c>
      <c r="E272" s="97"/>
      <c r="F272" s="97"/>
      <c r="G272" s="14"/>
    </row>
    <row r="273">
      <c r="A273" s="81">
        <v>11.0</v>
      </c>
      <c r="B273" s="81">
        <v>20.0</v>
      </c>
      <c r="C273" s="81">
        <v>10.0</v>
      </c>
      <c r="D273" s="81">
        <v>4.0</v>
      </c>
      <c r="E273" s="97"/>
      <c r="F273" s="97"/>
      <c r="G273" s="14"/>
    </row>
    <row r="274">
      <c r="A274" s="81">
        <v>11.0</v>
      </c>
      <c r="B274" s="81">
        <v>20.0</v>
      </c>
      <c r="C274" s="81">
        <v>12.0</v>
      </c>
      <c r="D274" s="81">
        <v>4.0</v>
      </c>
      <c r="E274" s="97"/>
      <c r="F274" s="97"/>
      <c r="G274" s="14"/>
    </row>
    <row r="275">
      <c r="A275" s="81">
        <v>11.0</v>
      </c>
      <c r="B275" s="81">
        <v>20.0</v>
      </c>
      <c r="C275" s="81">
        <v>13.0</v>
      </c>
      <c r="D275" s="81">
        <v>4.0</v>
      </c>
      <c r="E275" s="97"/>
      <c r="F275" s="97"/>
      <c r="G275" s="14"/>
    </row>
    <row r="276">
      <c r="A276" s="81">
        <v>11.0</v>
      </c>
      <c r="B276" s="81">
        <v>20.0</v>
      </c>
      <c r="C276" s="81">
        <v>14.0</v>
      </c>
      <c r="D276" s="81">
        <v>6.0</v>
      </c>
      <c r="E276" s="97"/>
      <c r="F276" s="97"/>
      <c r="G276" s="14"/>
    </row>
    <row r="277">
      <c r="A277" s="81">
        <v>11.0</v>
      </c>
      <c r="B277" s="81">
        <v>20.0</v>
      </c>
      <c r="C277" s="81">
        <v>15.0</v>
      </c>
      <c r="D277" s="81">
        <v>6.0</v>
      </c>
      <c r="E277" s="97"/>
      <c r="F277" s="97"/>
      <c r="G277" s="14"/>
    </row>
    <row r="278">
      <c r="A278" s="81">
        <v>11.0</v>
      </c>
      <c r="B278" s="81">
        <v>20.0</v>
      </c>
      <c r="C278" s="81">
        <v>16.0</v>
      </c>
      <c r="D278" s="81">
        <v>5.0</v>
      </c>
      <c r="E278" s="97"/>
      <c r="F278" s="97"/>
      <c r="G278" s="14"/>
    </row>
    <row r="279">
      <c r="A279" s="81">
        <v>11.0</v>
      </c>
      <c r="B279" s="81">
        <v>20.0</v>
      </c>
      <c r="C279" s="81">
        <v>17.0</v>
      </c>
      <c r="D279" s="81">
        <v>48.0</v>
      </c>
      <c r="E279" s="97"/>
      <c r="F279" s="97"/>
      <c r="G279" s="14"/>
    </row>
    <row r="280">
      <c r="A280" s="81">
        <v>11.0</v>
      </c>
      <c r="B280" s="81">
        <v>20.0</v>
      </c>
      <c r="C280" s="81">
        <v>18.0</v>
      </c>
      <c r="D280" s="81">
        <v>6.0</v>
      </c>
      <c r="E280" s="97"/>
      <c r="F280" s="97"/>
      <c r="G280" s="14"/>
    </row>
    <row r="281">
      <c r="A281" s="81">
        <v>11.0</v>
      </c>
      <c r="B281" s="81">
        <v>20.0</v>
      </c>
      <c r="C281" s="81">
        <v>19.0</v>
      </c>
      <c r="D281" s="81">
        <v>5.0</v>
      </c>
      <c r="E281" s="97"/>
      <c r="F281" s="97"/>
      <c r="G281" s="14"/>
    </row>
    <row r="282">
      <c r="A282" s="81">
        <v>11.0</v>
      </c>
      <c r="B282" s="81">
        <v>20.0</v>
      </c>
      <c r="C282" s="81">
        <v>20.0</v>
      </c>
      <c r="D282" s="81">
        <v>7.0</v>
      </c>
      <c r="E282" s="97"/>
      <c r="F282" s="97"/>
      <c r="G282" s="14">
        <f>average(D264:D282)</f>
        <v>7.894736842</v>
      </c>
    </row>
    <row r="283">
      <c r="A283" s="81">
        <v>10.0</v>
      </c>
      <c r="B283" s="81">
        <v>24.0</v>
      </c>
      <c r="C283" s="81">
        <v>1.0</v>
      </c>
      <c r="D283" s="81">
        <v>3.0</v>
      </c>
      <c r="E283" s="97"/>
      <c r="F283" s="97"/>
      <c r="G283" s="14"/>
    </row>
    <row r="284">
      <c r="A284" s="81">
        <v>10.0</v>
      </c>
      <c r="B284" s="81">
        <v>24.0</v>
      </c>
      <c r="C284" s="81">
        <v>2.0</v>
      </c>
      <c r="D284" s="81">
        <v>5.0</v>
      </c>
      <c r="E284" s="97"/>
      <c r="F284" s="97"/>
      <c r="G284" s="14"/>
    </row>
    <row r="285">
      <c r="A285" s="81">
        <v>10.0</v>
      </c>
      <c r="B285" s="81">
        <v>24.0</v>
      </c>
      <c r="C285" s="81">
        <v>3.0</v>
      </c>
      <c r="D285" s="81">
        <v>5.0</v>
      </c>
      <c r="E285" s="97"/>
      <c r="F285" s="97"/>
      <c r="G285" s="14"/>
    </row>
    <row r="286">
      <c r="A286" s="81">
        <v>10.0</v>
      </c>
      <c r="B286" s="81">
        <v>24.0</v>
      </c>
      <c r="C286" s="81">
        <v>4.0</v>
      </c>
      <c r="D286" s="81">
        <v>5.0</v>
      </c>
      <c r="E286" s="97"/>
      <c r="F286" s="97"/>
      <c r="G286" s="14"/>
    </row>
    <row r="287">
      <c r="A287" s="81">
        <v>10.0</v>
      </c>
      <c r="B287" s="81">
        <v>24.0</v>
      </c>
      <c r="C287" s="81">
        <v>5.0</v>
      </c>
      <c r="D287" s="81">
        <v>6.0</v>
      </c>
      <c r="E287" s="97"/>
      <c r="F287" s="97"/>
      <c r="G287" s="14"/>
    </row>
    <row r="288">
      <c r="A288" s="81">
        <v>10.0</v>
      </c>
      <c r="B288" s="81">
        <v>24.0</v>
      </c>
      <c r="C288" s="81">
        <v>6.0</v>
      </c>
      <c r="D288" s="81">
        <v>2.0</v>
      </c>
      <c r="E288" s="97"/>
      <c r="F288" s="97"/>
      <c r="G288" s="14"/>
    </row>
    <row r="289">
      <c r="A289" s="81">
        <v>10.0</v>
      </c>
      <c r="B289" s="81">
        <v>24.0</v>
      </c>
      <c r="C289" s="81">
        <v>7.0</v>
      </c>
      <c r="D289" s="81">
        <v>3.0</v>
      </c>
      <c r="E289" s="97"/>
      <c r="F289" s="97"/>
      <c r="G289" s="14"/>
    </row>
    <row r="290">
      <c r="A290" s="81">
        <v>10.0</v>
      </c>
      <c r="B290" s="81">
        <v>24.0</v>
      </c>
      <c r="C290" s="81">
        <v>8.0</v>
      </c>
      <c r="D290" s="81">
        <v>3.0</v>
      </c>
      <c r="E290" s="97"/>
      <c r="F290" s="97"/>
      <c r="G290" s="14"/>
    </row>
    <row r="291">
      <c r="A291" s="81">
        <v>10.0</v>
      </c>
      <c r="B291" s="81">
        <v>24.0</v>
      </c>
      <c r="C291" s="81">
        <v>9.0</v>
      </c>
      <c r="D291" s="81">
        <v>2.0</v>
      </c>
      <c r="E291" s="97"/>
      <c r="F291" s="97"/>
      <c r="G291" s="14"/>
    </row>
    <row r="292">
      <c r="A292" s="81">
        <v>10.0</v>
      </c>
      <c r="B292" s="81">
        <v>24.0</v>
      </c>
      <c r="C292" s="81">
        <v>10.0</v>
      </c>
      <c r="D292" s="81">
        <v>1.0</v>
      </c>
      <c r="E292" s="97"/>
      <c r="F292" s="97"/>
      <c r="G292" s="14"/>
    </row>
    <row r="293">
      <c r="A293" s="81">
        <v>10.0</v>
      </c>
      <c r="B293" s="81">
        <v>24.0</v>
      </c>
      <c r="C293" s="81">
        <v>12.0</v>
      </c>
      <c r="D293" s="81">
        <v>5.0</v>
      </c>
      <c r="E293" s="97"/>
      <c r="F293" s="97"/>
      <c r="G293" s="14"/>
    </row>
    <row r="294">
      <c r="A294" s="81">
        <v>10.0</v>
      </c>
      <c r="B294" s="81">
        <v>24.0</v>
      </c>
      <c r="C294" s="81">
        <v>13.0</v>
      </c>
      <c r="D294" s="81">
        <v>5.0</v>
      </c>
      <c r="E294" s="97"/>
      <c r="F294" s="97"/>
      <c r="G294" s="14"/>
    </row>
    <row r="295">
      <c r="A295" s="81">
        <v>10.0</v>
      </c>
      <c r="B295" s="81">
        <v>24.0</v>
      </c>
      <c r="C295" s="81">
        <v>14.0</v>
      </c>
      <c r="D295" s="81">
        <v>4.0</v>
      </c>
      <c r="E295" s="97"/>
      <c r="F295" s="97"/>
      <c r="G295" s="14"/>
    </row>
    <row r="296">
      <c r="A296" s="81">
        <v>10.0</v>
      </c>
      <c r="B296" s="81">
        <v>24.0</v>
      </c>
      <c r="C296" s="81">
        <v>15.0</v>
      </c>
      <c r="D296" s="81">
        <v>4.0</v>
      </c>
      <c r="E296" s="97"/>
      <c r="F296" s="97"/>
      <c r="G296" s="14"/>
    </row>
    <row r="297">
      <c r="A297" s="81">
        <v>10.0</v>
      </c>
      <c r="B297" s="81">
        <v>24.0</v>
      </c>
      <c r="C297" s="81">
        <v>16.0</v>
      </c>
      <c r="D297" s="81">
        <v>5.0</v>
      </c>
      <c r="E297" s="97"/>
      <c r="F297" s="97"/>
      <c r="G297" s="14"/>
    </row>
    <row r="298">
      <c r="A298" s="81">
        <v>10.0</v>
      </c>
      <c r="B298" s="81">
        <v>24.0</v>
      </c>
      <c r="C298" s="81">
        <v>17.0</v>
      </c>
      <c r="D298" s="81">
        <v>3.0</v>
      </c>
      <c r="E298" s="97"/>
      <c r="F298" s="97"/>
      <c r="G298" s="14"/>
    </row>
    <row r="299">
      <c r="A299" s="81">
        <v>10.0</v>
      </c>
      <c r="B299" s="81">
        <v>24.0</v>
      </c>
      <c r="C299" s="81">
        <v>18.0</v>
      </c>
      <c r="D299" s="81">
        <v>2.0</v>
      </c>
      <c r="E299" s="97"/>
      <c r="F299" s="97"/>
      <c r="G299" s="14"/>
    </row>
    <row r="300">
      <c r="A300" s="81">
        <v>10.0</v>
      </c>
      <c r="B300" s="81">
        <v>24.0</v>
      </c>
      <c r="C300" s="81">
        <v>19.0</v>
      </c>
      <c r="D300" s="81">
        <v>3.0</v>
      </c>
      <c r="E300" s="97"/>
      <c r="F300" s="97"/>
      <c r="G300" s="14"/>
    </row>
    <row r="301">
      <c r="A301" s="81">
        <v>10.0</v>
      </c>
      <c r="B301" s="81">
        <v>24.0</v>
      </c>
      <c r="C301" s="81">
        <v>20.0</v>
      </c>
      <c r="D301" s="81">
        <v>1.0</v>
      </c>
      <c r="E301" s="97"/>
      <c r="F301" s="97"/>
      <c r="G301" s="14"/>
    </row>
    <row r="302">
      <c r="A302" s="81">
        <v>10.0</v>
      </c>
      <c r="B302" s="81">
        <v>24.0</v>
      </c>
      <c r="C302" s="81">
        <v>21.0</v>
      </c>
      <c r="D302" s="81">
        <v>2.0</v>
      </c>
      <c r="E302" s="97"/>
      <c r="F302" s="97"/>
      <c r="G302" s="14"/>
    </row>
    <row r="303">
      <c r="A303" s="81">
        <v>10.0</v>
      </c>
      <c r="B303" s="81">
        <v>24.0</v>
      </c>
      <c r="C303" s="81">
        <v>22.0</v>
      </c>
      <c r="D303" s="81">
        <v>5.0</v>
      </c>
      <c r="E303" s="97"/>
      <c r="F303" s="97"/>
      <c r="G303" s="14"/>
    </row>
    <row r="304">
      <c r="A304" s="81">
        <v>10.0</v>
      </c>
      <c r="B304" s="81">
        <v>24.0</v>
      </c>
      <c r="C304" s="81">
        <v>23.0</v>
      </c>
      <c r="D304" s="81">
        <v>1.0</v>
      </c>
      <c r="E304" s="97"/>
      <c r="F304" s="97"/>
      <c r="G304" s="14"/>
    </row>
    <row r="305">
      <c r="A305" s="81">
        <v>10.0</v>
      </c>
      <c r="B305" s="81">
        <v>24.0</v>
      </c>
      <c r="C305" s="81">
        <v>24.0</v>
      </c>
      <c r="D305" s="81">
        <v>3.0</v>
      </c>
      <c r="E305" s="97"/>
      <c r="F305" s="97"/>
      <c r="G305" s="14">
        <f>average(D283:D305)</f>
        <v>3.391304348</v>
      </c>
    </row>
    <row r="306">
      <c r="A306" s="81">
        <v>9.0</v>
      </c>
      <c r="B306" s="81">
        <v>22.0</v>
      </c>
      <c r="C306" s="81">
        <v>1.0</v>
      </c>
      <c r="D306" s="81">
        <v>6.0</v>
      </c>
      <c r="E306" s="97"/>
      <c r="F306" s="97"/>
      <c r="G306" s="14"/>
    </row>
    <row r="307">
      <c r="A307" s="81">
        <v>9.0</v>
      </c>
      <c r="B307" s="81">
        <v>22.0</v>
      </c>
      <c r="C307" s="81">
        <v>2.0</v>
      </c>
      <c r="D307" s="81">
        <v>7.0</v>
      </c>
      <c r="E307" s="97"/>
      <c r="F307" s="97"/>
      <c r="G307" s="14"/>
    </row>
    <row r="308">
      <c r="A308" s="81">
        <v>9.0</v>
      </c>
      <c r="B308" s="81">
        <v>22.0</v>
      </c>
      <c r="C308" s="81">
        <v>3.0</v>
      </c>
      <c r="D308" s="81">
        <v>4.0</v>
      </c>
      <c r="E308" s="97"/>
      <c r="F308" s="97"/>
      <c r="G308" s="14"/>
    </row>
    <row r="309">
      <c r="A309" s="81">
        <v>9.0</v>
      </c>
      <c r="B309" s="81">
        <v>22.0</v>
      </c>
      <c r="C309" s="81">
        <v>4.0</v>
      </c>
      <c r="D309" s="81">
        <v>5.0</v>
      </c>
      <c r="E309" s="97"/>
      <c r="F309" s="97"/>
      <c r="G309" s="14"/>
    </row>
    <row r="310">
      <c r="A310" s="81">
        <v>9.0</v>
      </c>
      <c r="B310" s="81">
        <v>22.0</v>
      </c>
      <c r="C310" s="81">
        <v>5.0</v>
      </c>
      <c r="D310" s="81">
        <v>3.0</v>
      </c>
      <c r="E310" s="97"/>
      <c r="F310" s="97"/>
      <c r="G310" s="14"/>
    </row>
    <row r="311">
      <c r="A311" s="81">
        <v>9.0</v>
      </c>
      <c r="B311" s="81">
        <v>22.0</v>
      </c>
      <c r="C311" s="81">
        <v>6.0</v>
      </c>
      <c r="D311" s="81">
        <v>4.0</v>
      </c>
      <c r="E311" s="97"/>
      <c r="F311" s="97"/>
      <c r="G311" s="14"/>
    </row>
    <row r="312">
      <c r="A312" s="81">
        <v>9.0</v>
      </c>
      <c r="B312" s="81">
        <v>22.0</v>
      </c>
      <c r="C312" s="81">
        <v>7.0</v>
      </c>
      <c r="D312" s="81">
        <v>4.0</v>
      </c>
      <c r="E312" s="97"/>
      <c r="F312" s="97"/>
      <c r="G312" s="14"/>
    </row>
    <row r="313">
      <c r="A313" s="81">
        <v>9.0</v>
      </c>
      <c r="B313" s="81">
        <v>22.0</v>
      </c>
      <c r="C313" s="81">
        <v>8.0</v>
      </c>
      <c r="D313" s="81">
        <v>3.0</v>
      </c>
      <c r="E313" s="97"/>
      <c r="F313" s="97"/>
      <c r="G313" s="14"/>
    </row>
    <row r="314">
      <c r="A314" s="81">
        <v>9.0</v>
      </c>
      <c r="B314" s="81">
        <v>22.0</v>
      </c>
      <c r="C314" s="81">
        <v>9.0</v>
      </c>
      <c r="D314" s="81">
        <v>4.0</v>
      </c>
      <c r="E314" s="97"/>
      <c r="F314" s="97"/>
      <c r="G314" s="14"/>
    </row>
    <row r="315">
      <c r="A315" s="81">
        <v>9.0</v>
      </c>
      <c r="B315" s="81">
        <v>22.0</v>
      </c>
      <c r="C315" s="81">
        <v>10.0</v>
      </c>
      <c r="D315" s="81">
        <v>4.0</v>
      </c>
      <c r="E315" s="97"/>
      <c r="F315" s="97"/>
      <c r="G315" s="14"/>
    </row>
    <row r="316">
      <c r="A316" s="81">
        <v>9.0</v>
      </c>
      <c r="B316" s="81">
        <v>22.0</v>
      </c>
      <c r="C316" s="81">
        <v>12.0</v>
      </c>
      <c r="D316" s="81">
        <v>5.0</v>
      </c>
      <c r="E316" s="97"/>
      <c r="F316" s="97"/>
      <c r="G316" s="14"/>
    </row>
    <row r="317">
      <c r="A317" s="81">
        <v>9.0</v>
      </c>
      <c r="B317" s="81">
        <v>22.0</v>
      </c>
      <c r="C317" s="81">
        <v>13.0</v>
      </c>
      <c r="D317" s="81">
        <v>5.0</v>
      </c>
      <c r="E317" s="97"/>
      <c r="F317" s="97"/>
      <c r="G317" s="14"/>
    </row>
    <row r="318">
      <c r="A318" s="81">
        <v>9.0</v>
      </c>
      <c r="B318" s="81">
        <v>22.0</v>
      </c>
      <c r="C318" s="81">
        <v>14.0</v>
      </c>
      <c r="D318" s="81">
        <v>7.0</v>
      </c>
      <c r="E318" s="97"/>
      <c r="F318" s="97"/>
      <c r="G318" s="14"/>
    </row>
    <row r="319">
      <c r="A319" s="81">
        <v>9.0</v>
      </c>
      <c r="B319" s="81">
        <v>22.0</v>
      </c>
      <c r="C319" s="81">
        <v>15.0</v>
      </c>
      <c r="D319" s="81">
        <v>5.0</v>
      </c>
      <c r="E319" s="97"/>
      <c r="F319" s="97"/>
      <c r="G319" s="14"/>
    </row>
    <row r="320">
      <c r="A320" s="81">
        <v>9.0</v>
      </c>
      <c r="B320" s="81">
        <v>22.0</v>
      </c>
      <c r="C320" s="81">
        <v>16.0</v>
      </c>
      <c r="D320" s="81">
        <v>4.0</v>
      </c>
      <c r="E320" s="97"/>
      <c r="F320" s="97"/>
      <c r="G320" s="14"/>
    </row>
    <row r="321">
      <c r="A321" s="81">
        <v>9.0</v>
      </c>
      <c r="B321" s="81">
        <v>22.0</v>
      </c>
      <c r="C321" s="81">
        <v>17.0</v>
      </c>
      <c r="D321" s="81">
        <v>5.0</v>
      </c>
      <c r="E321" s="97"/>
      <c r="F321" s="97"/>
      <c r="G321" s="14"/>
    </row>
    <row r="322">
      <c r="A322" s="81">
        <v>9.0</v>
      </c>
      <c r="B322" s="81">
        <v>22.0</v>
      </c>
      <c r="C322" s="81">
        <v>18.0</v>
      </c>
      <c r="D322" s="81">
        <v>4.0</v>
      </c>
      <c r="E322" s="97"/>
      <c r="F322" s="97"/>
      <c r="G322" s="14"/>
    </row>
    <row r="323">
      <c r="A323" s="81">
        <v>9.0</v>
      </c>
      <c r="B323" s="81">
        <v>22.0</v>
      </c>
      <c r="C323" s="81">
        <v>19.0</v>
      </c>
      <c r="D323" s="81">
        <v>3.0</v>
      </c>
      <c r="E323" s="97"/>
      <c r="F323" s="97"/>
      <c r="G323" s="14"/>
    </row>
    <row r="324">
      <c r="A324" s="81">
        <v>9.0</v>
      </c>
      <c r="B324" s="81">
        <v>22.0</v>
      </c>
      <c r="C324" s="81">
        <v>20.0</v>
      </c>
      <c r="D324" s="81">
        <v>2.0</v>
      </c>
      <c r="E324" s="97"/>
      <c r="F324" s="97"/>
      <c r="G324" s="14"/>
    </row>
    <row r="325">
      <c r="A325" s="81">
        <v>9.0</v>
      </c>
      <c r="B325" s="81">
        <v>22.0</v>
      </c>
      <c r="C325" s="81">
        <v>21.0</v>
      </c>
      <c r="D325" s="81">
        <v>2.0</v>
      </c>
      <c r="E325" s="97"/>
      <c r="F325" s="97"/>
      <c r="G325" s="14"/>
    </row>
    <row r="326">
      <c r="A326" s="81">
        <v>9.0</v>
      </c>
      <c r="B326" s="81">
        <v>22.0</v>
      </c>
      <c r="C326" s="81">
        <v>22.0</v>
      </c>
      <c r="D326" s="81">
        <v>1.0</v>
      </c>
      <c r="E326" s="97"/>
      <c r="F326" s="97"/>
      <c r="G326" s="14">
        <f>average(D306:D326)</f>
        <v>4.142857143</v>
      </c>
    </row>
    <row r="327">
      <c r="G327" s="14"/>
    </row>
    <row r="328">
      <c r="G328" s="14"/>
    </row>
    <row r="329">
      <c r="G329" s="14"/>
    </row>
    <row r="330">
      <c r="G330" s="14"/>
    </row>
    <row r="331">
      <c r="G331" s="14"/>
    </row>
    <row r="332">
      <c r="G332" s="14"/>
    </row>
    <row r="333">
      <c r="G333" s="14"/>
    </row>
    <row r="334">
      <c r="G334" s="14"/>
    </row>
    <row r="335">
      <c r="G335" s="14"/>
    </row>
    <row r="336">
      <c r="G336" s="14"/>
    </row>
    <row r="337">
      <c r="G337" s="14"/>
    </row>
    <row r="338">
      <c r="G338" s="14"/>
    </row>
    <row r="339">
      <c r="G339" s="14"/>
    </row>
    <row r="340">
      <c r="G340" s="14"/>
    </row>
    <row r="341">
      <c r="G341" s="14"/>
    </row>
    <row r="342">
      <c r="G342" s="14"/>
    </row>
    <row r="343">
      <c r="G343" s="14"/>
    </row>
    <row r="344">
      <c r="G344" s="14"/>
    </row>
    <row r="345">
      <c r="G345" s="14"/>
    </row>
    <row r="346">
      <c r="G346" s="14"/>
    </row>
    <row r="347">
      <c r="G347" s="14"/>
    </row>
    <row r="348">
      <c r="G348" s="14"/>
    </row>
    <row r="349">
      <c r="G349" s="14"/>
    </row>
    <row r="350">
      <c r="G350" s="14"/>
    </row>
    <row r="351">
      <c r="G351" s="14"/>
    </row>
    <row r="352">
      <c r="G352" s="14"/>
    </row>
    <row r="353">
      <c r="G353" s="14"/>
    </row>
    <row r="354">
      <c r="G354" s="14"/>
    </row>
    <row r="355">
      <c r="G355" s="14"/>
    </row>
    <row r="356">
      <c r="G356" s="14"/>
    </row>
    <row r="357">
      <c r="G357" s="14"/>
    </row>
    <row r="358">
      <c r="G358" s="14"/>
    </row>
    <row r="359">
      <c r="G359" s="14"/>
    </row>
    <row r="360">
      <c r="G360" s="14"/>
    </row>
    <row r="361">
      <c r="G361" s="14"/>
    </row>
    <row r="362">
      <c r="G362" s="14"/>
    </row>
    <row r="363">
      <c r="G363" s="14"/>
    </row>
    <row r="364">
      <c r="G364" s="14"/>
    </row>
    <row r="365">
      <c r="G365" s="14"/>
    </row>
    <row r="366">
      <c r="G366" s="14"/>
    </row>
    <row r="367">
      <c r="G367" s="14"/>
    </row>
    <row r="368">
      <c r="G368" s="14"/>
    </row>
    <row r="369">
      <c r="G369" s="14"/>
    </row>
    <row r="370">
      <c r="G370" s="14"/>
    </row>
    <row r="371">
      <c r="G371" s="14"/>
    </row>
    <row r="372">
      <c r="G372" s="14"/>
    </row>
    <row r="373">
      <c r="G373" s="14"/>
    </row>
    <row r="374">
      <c r="G374" s="14"/>
    </row>
    <row r="375">
      <c r="G375" s="14"/>
    </row>
    <row r="376">
      <c r="G376" s="14"/>
    </row>
    <row r="377">
      <c r="G377" s="14"/>
    </row>
    <row r="378">
      <c r="G378" s="14"/>
    </row>
    <row r="379">
      <c r="G379" s="14"/>
    </row>
    <row r="380">
      <c r="G380" s="14"/>
    </row>
    <row r="381">
      <c r="G381" s="14"/>
    </row>
    <row r="382">
      <c r="G382" s="14"/>
    </row>
    <row r="383">
      <c r="G383" s="14"/>
    </row>
    <row r="384">
      <c r="G384" s="14"/>
    </row>
    <row r="385">
      <c r="G385" s="14"/>
    </row>
    <row r="386">
      <c r="G386" s="14"/>
    </row>
    <row r="387">
      <c r="G387" s="14"/>
    </row>
    <row r="388">
      <c r="G388" s="14"/>
    </row>
    <row r="389">
      <c r="G389" s="14"/>
    </row>
    <row r="390">
      <c r="G390" s="14"/>
    </row>
    <row r="391">
      <c r="G391" s="14"/>
    </row>
    <row r="392">
      <c r="G392" s="14"/>
    </row>
    <row r="393">
      <c r="G393" s="14"/>
    </row>
    <row r="394">
      <c r="G394" s="14"/>
    </row>
    <row r="395">
      <c r="G395" s="14"/>
    </row>
    <row r="396">
      <c r="G396" s="14"/>
    </row>
    <row r="397">
      <c r="G397" s="14"/>
    </row>
    <row r="398">
      <c r="G398" s="14"/>
    </row>
    <row r="399">
      <c r="G399" s="14"/>
    </row>
    <row r="400">
      <c r="G400" s="14"/>
    </row>
    <row r="401">
      <c r="G401" s="14"/>
    </row>
    <row r="402">
      <c r="G402" s="14"/>
    </row>
    <row r="403">
      <c r="G403" s="14"/>
    </row>
    <row r="404">
      <c r="G404" s="14"/>
    </row>
    <row r="405">
      <c r="G405" s="14"/>
    </row>
    <row r="406">
      <c r="G406" s="14"/>
    </row>
    <row r="407">
      <c r="G407" s="14"/>
    </row>
    <row r="408">
      <c r="G408" s="14"/>
    </row>
    <row r="409">
      <c r="G409" s="14"/>
    </row>
    <row r="410">
      <c r="G410" s="14"/>
    </row>
    <row r="411">
      <c r="G411" s="14"/>
    </row>
    <row r="412">
      <c r="G412" s="14"/>
    </row>
    <row r="413">
      <c r="G413" s="14"/>
    </row>
    <row r="414">
      <c r="G414" s="14"/>
    </row>
    <row r="415">
      <c r="G415" s="14"/>
    </row>
    <row r="416">
      <c r="G416" s="14"/>
    </row>
    <row r="417">
      <c r="G417" s="14"/>
    </row>
    <row r="418">
      <c r="G418" s="14"/>
    </row>
    <row r="419">
      <c r="G419" s="14"/>
    </row>
    <row r="420">
      <c r="G420" s="14"/>
    </row>
    <row r="421">
      <c r="G421" s="14"/>
    </row>
    <row r="422">
      <c r="G422" s="14"/>
    </row>
    <row r="423">
      <c r="G423" s="14"/>
    </row>
    <row r="424">
      <c r="G424" s="14"/>
    </row>
    <row r="425">
      <c r="G425" s="14"/>
    </row>
    <row r="426">
      <c r="G426" s="14"/>
    </row>
    <row r="427">
      <c r="G427" s="14"/>
    </row>
    <row r="428">
      <c r="G428" s="14"/>
    </row>
    <row r="429">
      <c r="G429" s="14"/>
    </row>
    <row r="430">
      <c r="G430" s="14"/>
    </row>
    <row r="431">
      <c r="G431" s="14"/>
    </row>
    <row r="432">
      <c r="G432" s="14"/>
    </row>
    <row r="433">
      <c r="G433" s="14"/>
    </row>
    <row r="434">
      <c r="G434" s="14"/>
    </row>
    <row r="435">
      <c r="G435" s="14"/>
    </row>
    <row r="436">
      <c r="G436" s="14"/>
    </row>
    <row r="437">
      <c r="G437" s="14"/>
    </row>
    <row r="438">
      <c r="G438" s="14"/>
    </row>
    <row r="439">
      <c r="G439" s="14"/>
    </row>
    <row r="440">
      <c r="G440" s="14"/>
    </row>
    <row r="441">
      <c r="G441" s="14"/>
    </row>
    <row r="442">
      <c r="G442" s="14"/>
    </row>
    <row r="443">
      <c r="G443" s="14"/>
    </row>
    <row r="444">
      <c r="G444" s="14"/>
    </row>
    <row r="445">
      <c r="G445" s="14"/>
    </row>
    <row r="446">
      <c r="G446" s="14"/>
    </row>
    <row r="447">
      <c r="G447" s="14"/>
    </row>
    <row r="448">
      <c r="G448" s="14"/>
    </row>
    <row r="449">
      <c r="G449" s="14"/>
    </row>
    <row r="450">
      <c r="G450" s="14"/>
    </row>
    <row r="451">
      <c r="G451" s="14"/>
    </row>
    <row r="452">
      <c r="G452" s="14"/>
    </row>
    <row r="453">
      <c r="G453" s="14"/>
    </row>
    <row r="454">
      <c r="G454" s="14"/>
    </row>
    <row r="455">
      <c r="G455" s="14"/>
    </row>
    <row r="456">
      <c r="G456" s="14"/>
    </row>
    <row r="457">
      <c r="G457" s="14"/>
    </row>
    <row r="458">
      <c r="G458" s="14"/>
    </row>
    <row r="459">
      <c r="G459" s="14"/>
    </row>
    <row r="460">
      <c r="G460" s="14"/>
    </row>
    <row r="461">
      <c r="G461" s="14"/>
    </row>
    <row r="462">
      <c r="G462" s="14"/>
    </row>
    <row r="463">
      <c r="G463" s="14"/>
    </row>
    <row r="464">
      <c r="G464" s="14"/>
    </row>
    <row r="465">
      <c r="G465" s="14"/>
    </row>
    <row r="466">
      <c r="G466" s="14"/>
    </row>
    <row r="467">
      <c r="G467" s="14"/>
    </row>
    <row r="468">
      <c r="G468" s="14"/>
    </row>
    <row r="469">
      <c r="G469" s="14"/>
    </row>
    <row r="470">
      <c r="G470" s="14"/>
    </row>
    <row r="471">
      <c r="G471" s="14"/>
    </row>
    <row r="472">
      <c r="G472" s="14"/>
    </row>
    <row r="473">
      <c r="G473" s="14"/>
    </row>
    <row r="474">
      <c r="G474" s="14"/>
    </row>
    <row r="475">
      <c r="G475" s="14"/>
    </row>
    <row r="476">
      <c r="G476" s="14"/>
    </row>
    <row r="477">
      <c r="G477" s="14"/>
    </row>
    <row r="478">
      <c r="G478" s="14"/>
    </row>
    <row r="479">
      <c r="G479" s="14"/>
    </row>
    <row r="480">
      <c r="G480" s="14"/>
    </row>
    <row r="481">
      <c r="G481" s="14"/>
    </row>
    <row r="482">
      <c r="G482" s="14"/>
    </row>
    <row r="483">
      <c r="G483" s="14"/>
    </row>
    <row r="484">
      <c r="G484" s="14"/>
    </row>
    <row r="485">
      <c r="G485" s="14"/>
    </row>
    <row r="486">
      <c r="G486" s="14"/>
    </row>
    <row r="487">
      <c r="G487" s="14"/>
    </row>
    <row r="488">
      <c r="G488" s="14"/>
    </row>
    <row r="489">
      <c r="G489" s="14"/>
    </row>
    <row r="490">
      <c r="G490" s="14"/>
    </row>
    <row r="491">
      <c r="G491" s="14"/>
    </row>
    <row r="492">
      <c r="G492" s="14"/>
    </row>
    <row r="493">
      <c r="G493" s="14"/>
    </row>
    <row r="494">
      <c r="G494" s="14"/>
    </row>
    <row r="495">
      <c r="G495" s="14"/>
    </row>
    <row r="496">
      <c r="G496" s="14"/>
    </row>
    <row r="497">
      <c r="G497" s="14"/>
    </row>
    <row r="498">
      <c r="G498" s="14"/>
    </row>
    <row r="499">
      <c r="G499" s="14"/>
    </row>
    <row r="500">
      <c r="G500" s="14"/>
    </row>
    <row r="501">
      <c r="G501" s="14"/>
    </row>
    <row r="502">
      <c r="G502" s="14"/>
    </row>
    <row r="503">
      <c r="G503" s="14"/>
    </row>
    <row r="504">
      <c r="G504" s="14"/>
    </row>
    <row r="505">
      <c r="G505" s="14"/>
    </row>
    <row r="506">
      <c r="G506" s="14"/>
    </row>
    <row r="507">
      <c r="G507" s="14"/>
    </row>
    <row r="508">
      <c r="G508" s="14"/>
    </row>
    <row r="509">
      <c r="G509" s="14"/>
    </row>
    <row r="510">
      <c r="G510" s="14"/>
    </row>
    <row r="511">
      <c r="G511" s="14"/>
    </row>
    <row r="512">
      <c r="G512" s="14"/>
    </row>
    <row r="513">
      <c r="G513" s="14"/>
    </row>
    <row r="514">
      <c r="G514" s="14"/>
    </row>
    <row r="515">
      <c r="G515" s="14"/>
    </row>
    <row r="516">
      <c r="G516" s="14"/>
    </row>
    <row r="517">
      <c r="G517" s="14"/>
    </row>
    <row r="518">
      <c r="G518" s="14"/>
    </row>
    <row r="519">
      <c r="G519" s="14"/>
    </row>
    <row r="520">
      <c r="G520" s="14"/>
    </row>
    <row r="521">
      <c r="G521" s="14"/>
    </row>
    <row r="522">
      <c r="G522" s="14"/>
    </row>
    <row r="523">
      <c r="G523" s="14"/>
    </row>
    <row r="524">
      <c r="G524" s="14"/>
    </row>
    <row r="525">
      <c r="G525" s="14"/>
    </row>
    <row r="526">
      <c r="G526" s="14"/>
    </row>
    <row r="527">
      <c r="G527" s="14"/>
    </row>
    <row r="528">
      <c r="G528" s="14"/>
    </row>
    <row r="529">
      <c r="G529" s="14"/>
    </row>
    <row r="530">
      <c r="G530" s="14"/>
    </row>
    <row r="531">
      <c r="G531" s="14"/>
    </row>
    <row r="532">
      <c r="G532" s="14"/>
    </row>
    <row r="533">
      <c r="G533" s="14"/>
    </row>
    <row r="534">
      <c r="G534" s="14"/>
    </row>
    <row r="535">
      <c r="G535" s="14"/>
    </row>
    <row r="536">
      <c r="G536" s="14"/>
    </row>
    <row r="537">
      <c r="G537" s="14"/>
    </row>
    <row r="538">
      <c r="G538" s="14"/>
    </row>
    <row r="539">
      <c r="G539" s="14"/>
    </row>
    <row r="540">
      <c r="G540" s="14"/>
    </row>
    <row r="541">
      <c r="G541" s="14"/>
    </row>
    <row r="542">
      <c r="G542" s="14"/>
    </row>
    <row r="543">
      <c r="G543" s="14"/>
    </row>
    <row r="544">
      <c r="G544" s="14"/>
    </row>
    <row r="545">
      <c r="G545" s="14"/>
    </row>
    <row r="546">
      <c r="G546" s="14"/>
    </row>
    <row r="547">
      <c r="G547" s="14"/>
    </row>
    <row r="548">
      <c r="G548" s="14"/>
    </row>
    <row r="549">
      <c r="G549" s="14"/>
    </row>
    <row r="550">
      <c r="G550" s="14"/>
    </row>
    <row r="551">
      <c r="G551" s="14"/>
    </row>
    <row r="552">
      <c r="G552" s="14"/>
    </row>
    <row r="553">
      <c r="G553" s="14"/>
    </row>
    <row r="554">
      <c r="G554" s="14"/>
    </row>
    <row r="555">
      <c r="G555" s="14"/>
    </row>
    <row r="556">
      <c r="G556" s="14"/>
    </row>
    <row r="557">
      <c r="G557" s="14"/>
    </row>
    <row r="558">
      <c r="G558" s="14"/>
    </row>
    <row r="559">
      <c r="G559" s="14"/>
    </row>
    <row r="560">
      <c r="G560" s="14"/>
    </row>
    <row r="561">
      <c r="G561" s="14"/>
    </row>
    <row r="562">
      <c r="G562" s="14"/>
    </row>
    <row r="563">
      <c r="G563" s="14"/>
    </row>
    <row r="564">
      <c r="G564" s="14"/>
    </row>
    <row r="565">
      <c r="G565" s="14"/>
    </row>
    <row r="566">
      <c r="G566" s="14"/>
    </row>
    <row r="567">
      <c r="G567" s="14"/>
    </row>
    <row r="568">
      <c r="G568" s="14"/>
    </row>
    <row r="569">
      <c r="G569" s="14"/>
    </row>
    <row r="570">
      <c r="G570" s="14"/>
    </row>
    <row r="571">
      <c r="G571" s="14"/>
    </row>
    <row r="572">
      <c r="G572" s="14"/>
    </row>
    <row r="573">
      <c r="G573" s="14"/>
    </row>
    <row r="574">
      <c r="G574" s="14"/>
    </row>
    <row r="575">
      <c r="G575" s="14"/>
    </row>
    <row r="576">
      <c r="G576" s="14"/>
    </row>
    <row r="577">
      <c r="G577" s="14"/>
    </row>
    <row r="578">
      <c r="G578" s="14"/>
    </row>
    <row r="579">
      <c r="G579" s="14"/>
    </row>
    <row r="580">
      <c r="G580" s="14"/>
    </row>
    <row r="581">
      <c r="G581" s="14"/>
    </row>
    <row r="582">
      <c r="G582" s="14"/>
    </row>
    <row r="583">
      <c r="G583" s="14"/>
    </row>
    <row r="584">
      <c r="G584" s="14"/>
    </row>
    <row r="585">
      <c r="G585" s="14"/>
    </row>
    <row r="586">
      <c r="G586" s="14"/>
    </row>
    <row r="587">
      <c r="G587" s="14"/>
    </row>
    <row r="588">
      <c r="G588" s="14"/>
    </row>
    <row r="589">
      <c r="G589" s="14"/>
    </row>
    <row r="590">
      <c r="G590" s="14"/>
    </row>
    <row r="591">
      <c r="G591" s="14"/>
    </row>
    <row r="592">
      <c r="G592" s="14"/>
    </row>
    <row r="593">
      <c r="G593" s="14"/>
    </row>
    <row r="594">
      <c r="G594" s="14"/>
    </row>
    <row r="595">
      <c r="G595" s="14"/>
    </row>
    <row r="596">
      <c r="G596" s="14"/>
    </row>
    <row r="597">
      <c r="G597" s="14"/>
    </row>
    <row r="598">
      <c r="G598" s="14"/>
    </row>
    <row r="599">
      <c r="G599" s="14"/>
    </row>
    <row r="600">
      <c r="G600" s="14"/>
    </row>
    <row r="601">
      <c r="G601" s="14"/>
    </row>
    <row r="602">
      <c r="G602" s="14"/>
    </row>
    <row r="603">
      <c r="G603" s="14"/>
    </row>
    <row r="604">
      <c r="G604" s="14"/>
    </row>
    <row r="605">
      <c r="G605" s="14"/>
    </row>
    <row r="606">
      <c r="G606" s="14"/>
    </row>
    <row r="607">
      <c r="G607" s="14"/>
    </row>
    <row r="608">
      <c r="G608" s="14"/>
    </row>
    <row r="609">
      <c r="G609" s="14"/>
    </row>
    <row r="610">
      <c r="G610" s="14"/>
    </row>
    <row r="611">
      <c r="G611" s="14"/>
    </row>
    <row r="612">
      <c r="G612" s="14"/>
    </row>
    <row r="613">
      <c r="G613" s="14"/>
    </row>
    <row r="614">
      <c r="G614" s="14"/>
    </row>
    <row r="615">
      <c r="G615" s="14"/>
    </row>
    <row r="616">
      <c r="G616" s="14"/>
    </row>
    <row r="617">
      <c r="G617" s="14"/>
    </row>
    <row r="618">
      <c r="G618" s="14"/>
    </row>
    <row r="619">
      <c r="G619" s="14"/>
    </row>
    <row r="620">
      <c r="G620" s="14"/>
    </row>
    <row r="621">
      <c r="G621" s="14"/>
    </row>
    <row r="622">
      <c r="G622" s="14"/>
    </row>
    <row r="623">
      <c r="G623" s="14"/>
    </row>
    <row r="624">
      <c r="G624" s="14"/>
    </row>
    <row r="625">
      <c r="G625" s="14"/>
    </row>
    <row r="626">
      <c r="G626" s="14"/>
    </row>
    <row r="627">
      <c r="G627" s="14"/>
    </row>
    <row r="628">
      <c r="G628" s="14"/>
    </row>
    <row r="629">
      <c r="G629" s="14"/>
    </row>
    <row r="630">
      <c r="G630" s="14"/>
    </row>
    <row r="631">
      <c r="G631" s="14"/>
    </row>
    <row r="632">
      <c r="G632" s="14"/>
    </row>
    <row r="633">
      <c r="G633" s="14"/>
    </row>
    <row r="634">
      <c r="G634" s="14"/>
    </row>
    <row r="635">
      <c r="G635" s="14"/>
    </row>
    <row r="636">
      <c r="G636" s="14"/>
    </row>
    <row r="637">
      <c r="G637" s="14"/>
    </row>
    <row r="638">
      <c r="G638" s="14"/>
    </row>
    <row r="639">
      <c r="G639" s="14"/>
    </row>
    <row r="640">
      <c r="G640" s="14"/>
    </row>
    <row r="641">
      <c r="G641" s="14"/>
    </row>
    <row r="642">
      <c r="G642" s="14"/>
    </row>
    <row r="643">
      <c r="G643" s="14"/>
    </row>
    <row r="644">
      <c r="G644" s="14"/>
    </row>
    <row r="645">
      <c r="G645" s="14"/>
    </row>
    <row r="646">
      <c r="G646" s="14"/>
    </row>
    <row r="647">
      <c r="G647" s="14"/>
    </row>
    <row r="648">
      <c r="G648" s="14"/>
    </row>
    <row r="649">
      <c r="G649" s="14"/>
    </row>
    <row r="650">
      <c r="G650" s="14"/>
    </row>
    <row r="651">
      <c r="G651" s="14"/>
    </row>
    <row r="652">
      <c r="G652" s="14"/>
    </row>
    <row r="653">
      <c r="G653" s="14"/>
    </row>
    <row r="654">
      <c r="G654" s="14"/>
    </row>
    <row r="655">
      <c r="G655" s="14"/>
    </row>
    <row r="656">
      <c r="G656" s="14"/>
    </row>
    <row r="657">
      <c r="G657" s="14"/>
    </row>
    <row r="658">
      <c r="G658" s="14"/>
    </row>
    <row r="659">
      <c r="G659" s="14"/>
    </row>
    <row r="660">
      <c r="G660" s="14"/>
    </row>
    <row r="661">
      <c r="G661" s="14"/>
    </row>
    <row r="662">
      <c r="G662" s="14"/>
    </row>
    <row r="663">
      <c r="G663" s="14"/>
    </row>
    <row r="664">
      <c r="G664" s="14"/>
    </row>
    <row r="665">
      <c r="G665" s="14"/>
    </row>
    <row r="666">
      <c r="G666" s="14"/>
    </row>
    <row r="667">
      <c r="G667" s="14"/>
    </row>
    <row r="668">
      <c r="G668" s="14"/>
    </row>
    <row r="669">
      <c r="G669" s="14"/>
    </row>
    <row r="670">
      <c r="G670" s="14"/>
    </row>
    <row r="671">
      <c r="G671" s="14"/>
    </row>
    <row r="672">
      <c r="G672" s="14"/>
    </row>
    <row r="673">
      <c r="G673" s="14"/>
    </row>
    <row r="674">
      <c r="G674" s="14"/>
    </row>
    <row r="675">
      <c r="G675" s="14"/>
    </row>
    <row r="676">
      <c r="G676" s="14"/>
    </row>
    <row r="677">
      <c r="G677" s="14"/>
    </row>
    <row r="678">
      <c r="G678" s="14"/>
    </row>
    <row r="679">
      <c r="G679" s="14"/>
    </row>
    <row r="680">
      <c r="G680" s="14"/>
    </row>
    <row r="681">
      <c r="G681" s="14"/>
    </row>
    <row r="682">
      <c r="G682" s="14"/>
    </row>
    <row r="683">
      <c r="G683" s="14"/>
    </row>
    <row r="684">
      <c r="G684" s="14"/>
    </row>
    <row r="685">
      <c r="G685" s="14"/>
    </row>
    <row r="686">
      <c r="G686" s="14"/>
    </row>
    <row r="687">
      <c r="G687" s="14"/>
    </row>
    <row r="688">
      <c r="G688" s="14"/>
    </row>
    <row r="689">
      <c r="G689" s="14"/>
    </row>
    <row r="690">
      <c r="G690" s="14"/>
    </row>
    <row r="691">
      <c r="G691" s="14"/>
    </row>
    <row r="692">
      <c r="G692" s="14"/>
    </row>
    <row r="693">
      <c r="G693" s="14"/>
    </row>
    <row r="694">
      <c r="G694" s="14"/>
    </row>
    <row r="695">
      <c r="G695" s="14"/>
    </row>
    <row r="696">
      <c r="G696" s="14"/>
    </row>
    <row r="697">
      <c r="G697" s="14"/>
    </row>
    <row r="698">
      <c r="G698" s="14"/>
    </row>
    <row r="699">
      <c r="G699" s="14"/>
    </row>
    <row r="700">
      <c r="G700" s="14"/>
    </row>
    <row r="701">
      <c r="G701" s="14"/>
    </row>
    <row r="702">
      <c r="G702" s="14"/>
    </row>
    <row r="703">
      <c r="G703" s="14"/>
    </row>
    <row r="704">
      <c r="G704" s="14"/>
    </row>
    <row r="705">
      <c r="G705" s="14"/>
    </row>
    <row r="706">
      <c r="G706" s="14"/>
    </row>
    <row r="707">
      <c r="G707" s="14"/>
    </row>
    <row r="708">
      <c r="G708" s="14"/>
    </row>
    <row r="709">
      <c r="G709" s="14"/>
    </row>
    <row r="710">
      <c r="G710" s="14"/>
    </row>
    <row r="711">
      <c r="G711" s="14"/>
    </row>
    <row r="712">
      <c r="G712" s="14"/>
    </row>
    <row r="713">
      <c r="G713" s="14"/>
    </row>
    <row r="714">
      <c r="G714" s="14"/>
    </row>
    <row r="715">
      <c r="G715" s="14"/>
    </row>
    <row r="716">
      <c r="G716" s="14"/>
    </row>
    <row r="717">
      <c r="G717" s="14"/>
    </row>
    <row r="718">
      <c r="G718" s="14"/>
    </row>
    <row r="719">
      <c r="G719" s="14"/>
    </row>
    <row r="720">
      <c r="G720" s="14"/>
    </row>
    <row r="721">
      <c r="G721" s="14"/>
    </row>
    <row r="722">
      <c r="G722" s="14"/>
    </row>
    <row r="723">
      <c r="G723" s="14"/>
    </row>
    <row r="724">
      <c r="G724" s="14"/>
    </row>
    <row r="725">
      <c r="G725" s="14"/>
    </row>
    <row r="726">
      <c r="G726" s="14"/>
    </row>
    <row r="727">
      <c r="G727" s="14"/>
    </row>
    <row r="728">
      <c r="G728" s="14"/>
    </row>
    <row r="729">
      <c r="G729" s="14"/>
    </row>
    <row r="730">
      <c r="G730" s="14"/>
    </row>
    <row r="731">
      <c r="G731" s="14"/>
    </row>
    <row r="732">
      <c r="G732" s="14"/>
    </row>
    <row r="733">
      <c r="G733" s="14"/>
    </row>
    <row r="734">
      <c r="G734" s="14"/>
    </row>
    <row r="735">
      <c r="G735" s="14"/>
    </row>
    <row r="736">
      <c r="G736" s="14"/>
    </row>
    <row r="737">
      <c r="G737" s="14"/>
    </row>
    <row r="738">
      <c r="G738" s="14"/>
    </row>
    <row r="739">
      <c r="G739" s="14"/>
    </row>
    <row r="740">
      <c r="G740" s="14"/>
    </row>
    <row r="741">
      <c r="G741" s="14"/>
    </row>
    <row r="742">
      <c r="G742" s="14"/>
    </row>
    <row r="743">
      <c r="G743" s="14"/>
    </row>
    <row r="744">
      <c r="G744" s="14"/>
    </row>
    <row r="745">
      <c r="G745" s="14"/>
    </row>
    <row r="746">
      <c r="G746" s="14"/>
    </row>
    <row r="747">
      <c r="G747" s="14"/>
    </row>
    <row r="748">
      <c r="G748" s="14"/>
    </row>
    <row r="749">
      <c r="G749" s="14"/>
    </row>
    <row r="750">
      <c r="G750" s="14"/>
    </row>
    <row r="751">
      <c r="G751" s="14"/>
    </row>
    <row r="752">
      <c r="G752" s="14"/>
    </row>
    <row r="753">
      <c r="G753" s="14"/>
    </row>
    <row r="754">
      <c r="G754" s="14"/>
    </row>
    <row r="755">
      <c r="G755" s="14"/>
    </row>
    <row r="756">
      <c r="G756" s="14"/>
    </row>
    <row r="757">
      <c r="G757" s="14"/>
    </row>
    <row r="758">
      <c r="G758" s="14"/>
    </row>
    <row r="759">
      <c r="G759" s="14"/>
    </row>
    <row r="760">
      <c r="G760" s="14"/>
    </row>
    <row r="761">
      <c r="G761" s="14"/>
    </row>
    <row r="762">
      <c r="G762" s="14"/>
    </row>
    <row r="763">
      <c r="G763" s="14"/>
    </row>
    <row r="764">
      <c r="G764" s="14"/>
    </row>
    <row r="765">
      <c r="G765" s="14"/>
    </row>
    <row r="766">
      <c r="G766" s="14"/>
    </row>
    <row r="767">
      <c r="G767" s="14"/>
    </row>
    <row r="768">
      <c r="G768" s="14"/>
    </row>
    <row r="769">
      <c r="G769" s="14"/>
    </row>
    <row r="770">
      <c r="G770" s="14"/>
    </row>
    <row r="771">
      <c r="G771" s="14"/>
    </row>
    <row r="772">
      <c r="G772" s="14"/>
    </row>
    <row r="773">
      <c r="G773" s="14"/>
    </row>
    <row r="774">
      <c r="G774" s="14"/>
    </row>
    <row r="775">
      <c r="G775" s="14"/>
    </row>
    <row r="776">
      <c r="G776" s="14"/>
    </row>
    <row r="777">
      <c r="G777" s="14"/>
    </row>
    <row r="778">
      <c r="G778" s="14"/>
    </row>
    <row r="779">
      <c r="G779" s="14"/>
    </row>
    <row r="780">
      <c r="G780" s="14"/>
    </row>
    <row r="781">
      <c r="G781" s="14"/>
    </row>
    <row r="782">
      <c r="G782" s="14"/>
    </row>
    <row r="783">
      <c r="G783" s="14"/>
    </row>
    <row r="784">
      <c r="G784" s="14"/>
    </row>
    <row r="785">
      <c r="G785" s="14"/>
    </row>
    <row r="786">
      <c r="G786" s="14"/>
    </row>
    <row r="787">
      <c r="G787" s="14"/>
    </row>
    <row r="788">
      <c r="G788" s="14"/>
    </row>
    <row r="789">
      <c r="G789" s="14"/>
    </row>
    <row r="790">
      <c r="G790" s="14"/>
    </row>
    <row r="791">
      <c r="G791" s="14"/>
    </row>
    <row r="792">
      <c r="G792" s="14"/>
    </row>
    <row r="793">
      <c r="G793" s="14"/>
    </row>
    <row r="794">
      <c r="G794" s="14"/>
    </row>
    <row r="795">
      <c r="G795" s="14"/>
    </row>
    <row r="796">
      <c r="G796" s="14"/>
    </row>
    <row r="797">
      <c r="G797" s="14"/>
    </row>
    <row r="798">
      <c r="G798" s="14"/>
    </row>
    <row r="799">
      <c r="G799" s="14"/>
    </row>
    <row r="800">
      <c r="G800" s="14"/>
    </row>
    <row r="801">
      <c r="G801" s="14"/>
    </row>
    <row r="802">
      <c r="G802" s="14"/>
    </row>
    <row r="803">
      <c r="G803" s="14"/>
    </row>
    <row r="804">
      <c r="G804" s="14"/>
    </row>
    <row r="805">
      <c r="G805" s="14"/>
    </row>
    <row r="806">
      <c r="G806" s="14"/>
    </row>
    <row r="807">
      <c r="G807" s="14"/>
    </row>
    <row r="808">
      <c r="G808" s="14"/>
    </row>
    <row r="809">
      <c r="G809" s="14"/>
    </row>
    <row r="810">
      <c r="G810" s="14"/>
    </row>
    <row r="811">
      <c r="G811" s="14"/>
    </row>
    <row r="812">
      <c r="G812" s="14"/>
    </row>
    <row r="813">
      <c r="G813" s="14"/>
    </row>
    <row r="814">
      <c r="G814" s="14"/>
    </row>
    <row r="815">
      <c r="G815" s="14"/>
    </row>
    <row r="816">
      <c r="G816" s="14"/>
    </row>
    <row r="817">
      <c r="G817" s="14"/>
    </row>
    <row r="818">
      <c r="G818" s="14"/>
    </row>
    <row r="819">
      <c r="G819" s="14"/>
    </row>
    <row r="820">
      <c r="G820" s="14"/>
    </row>
    <row r="821">
      <c r="G821" s="14"/>
    </row>
    <row r="822">
      <c r="G822" s="14"/>
    </row>
    <row r="823">
      <c r="G823" s="14"/>
    </row>
    <row r="824">
      <c r="G824" s="14"/>
    </row>
    <row r="825">
      <c r="G825" s="14"/>
    </row>
    <row r="826">
      <c r="G826" s="14"/>
    </row>
    <row r="827">
      <c r="G827" s="14"/>
    </row>
    <row r="828">
      <c r="G828" s="14"/>
    </row>
    <row r="829">
      <c r="G829" s="14"/>
    </row>
    <row r="830">
      <c r="G830" s="14"/>
    </row>
    <row r="831">
      <c r="G831" s="14"/>
    </row>
    <row r="832">
      <c r="G832" s="14"/>
    </row>
    <row r="833">
      <c r="G833" s="14"/>
    </row>
    <row r="834">
      <c r="G834" s="14"/>
    </row>
    <row r="835">
      <c r="G835" s="14"/>
    </row>
    <row r="836">
      <c r="G836" s="14"/>
    </row>
    <row r="837">
      <c r="G837" s="14"/>
    </row>
    <row r="838">
      <c r="G838" s="14"/>
    </row>
    <row r="839">
      <c r="G839" s="14"/>
    </row>
    <row r="840">
      <c r="G840" s="14"/>
    </row>
    <row r="841">
      <c r="G841" s="14"/>
    </row>
    <row r="842">
      <c r="G842" s="14"/>
    </row>
    <row r="843">
      <c r="G843" s="14"/>
    </row>
    <row r="844">
      <c r="G844" s="14"/>
    </row>
    <row r="845">
      <c r="G845" s="14"/>
    </row>
    <row r="846">
      <c r="G846" s="14"/>
    </row>
    <row r="847">
      <c r="G847" s="14"/>
    </row>
    <row r="848">
      <c r="G848" s="14"/>
    </row>
    <row r="849">
      <c r="G849" s="14"/>
    </row>
    <row r="850">
      <c r="G850" s="14"/>
    </row>
    <row r="851">
      <c r="G851" s="14"/>
    </row>
    <row r="852">
      <c r="G852" s="14"/>
    </row>
    <row r="853">
      <c r="G853" s="14"/>
    </row>
    <row r="854">
      <c r="G854" s="14"/>
    </row>
    <row r="855">
      <c r="G855" s="14"/>
    </row>
    <row r="856">
      <c r="G856" s="14"/>
    </row>
    <row r="857">
      <c r="G857" s="14"/>
    </row>
    <row r="858">
      <c r="G858" s="14"/>
    </row>
    <row r="859">
      <c r="G859" s="14"/>
    </row>
    <row r="860">
      <c r="G860" s="14"/>
    </row>
    <row r="861">
      <c r="G861" s="14"/>
    </row>
    <row r="862">
      <c r="G862" s="14"/>
    </row>
    <row r="863">
      <c r="G863" s="14"/>
    </row>
    <row r="864">
      <c r="G864" s="14"/>
    </row>
    <row r="865">
      <c r="G865" s="14"/>
    </row>
    <row r="866">
      <c r="G866" s="14"/>
    </row>
    <row r="867">
      <c r="G867" s="14"/>
    </row>
    <row r="868">
      <c r="G868" s="14"/>
    </row>
    <row r="869">
      <c r="G869" s="14"/>
    </row>
    <row r="870">
      <c r="G870" s="14"/>
    </row>
    <row r="871">
      <c r="G871" s="14"/>
    </row>
    <row r="872">
      <c r="G872" s="14"/>
    </row>
    <row r="873">
      <c r="G873" s="14"/>
    </row>
    <row r="874">
      <c r="G874" s="14"/>
    </row>
    <row r="875">
      <c r="G875" s="14"/>
    </row>
    <row r="876">
      <c r="G876" s="14"/>
    </row>
    <row r="877">
      <c r="G877" s="14"/>
    </row>
    <row r="878">
      <c r="G878" s="14"/>
    </row>
    <row r="879">
      <c r="G879" s="14"/>
    </row>
    <row r="880">
      <c r="G880" s="14"/>
    </row>
    <row r="881">
      <c r="G881" s="14"/>
    </row>
    <row r="882">
      <c r="G882" s="14"/>
    </row>
    <row r="883">
      <c r="G883" s="14"/>
    </row>
    <row r="884">
      <c r="G884" s="14"/>
    </row>
    <row r="885">
      <c r="G885" s="14"/>
    </row>
    <row r="886">
      <c r="G886" s="14"/>
    </row>
    <row r="887">
      <c r="G887" s="14"/>
    </row>
    <row r="888">
      <c r="G888" s="14"/>
    </row>
    <row r="889">
      <c r="G889" s="14"/>
    </row>
    <row r="890">
      <c r="G890" s="14"/>
    </row>
    <row r="891">
      <c r="G891" s="14"/>
    </row>
    <row r="892">
      <c r="G892" s="14"/>
    </row>
    <row r="893">
      <c r="G893" s="14"/>
    </row>
    <row r="894">
      <c r="G894" s="14"/>
    </row>
    <row r="895">
      <c r="G895" s="14"/>
    </row>
    <row r="896">
      <c r="G896" s="14"/>
    </row>
    <row r="897">
      <c r="G897" s="14"/>
    </row>
    <row r="898">
      <c r="G898" s="14"/>
    </row>
    <row r="899">
      <c r="G899" s="14"/>
    </row>
    <row r="900">
      <c r="G900" s="14"/>
    </row>
    <row r="901">
      <c r="G901" s="14"/>
    </row>
    <row r="902">
      <c r="G902" s="14"/>
    </row>
    <row r="903">
      <c r="G903" s="14"/>
    </row>
    <row r="904">
      <c r="G904" s="14"/>
    </row>
    <row r="905">
      <c r="G905" s="14"/>
    </row>
    <row r="906">
      <c r="G906" s="14"/>
    </row>
    <row r="907">
      <c r="G907" s="14"/>
    </row>
    <row r="908">
      <c r="G908" s="14"/>
    </row>
    <row r="909">
      <c r="G909" s="14"/>
    </row>
    <row r="910">
      <c r="G910" s="14"/>
    </row>
    <row r="911">
      <c r="G911" s="14"/>
    </row>
    <row r="912">
      <c r="G912" s="14"/>
    </row>
    <row r="913">
      <c r="G913" s="14"/>
    </row>
    <row r="914">
      <c r="G914" s="14"/>
    </row>
    <row r="915">
      <c r="G915" s="14"/>
    </row>
    <row r="916">
      <c r="G916" s="14"/>
    </row>
    <row r="917">
      <c r="G917" s="14"/>
    </row>
    <row r="918">
      <c r="G918" s="14"/>
    </row>
    <row r="919">
      <c r="G919" s="14"/>
    </row>
    <row r="920">
      <c r="G920" s="14"/>
    </row>
    <row r="921">
      <c r="G921" s="14"/>
    </row>
    <row r="922">
      <c r="G922" s="14"/>
    </row>
    <row r="923">
      <c r="G923" s="14"/>
    </row>
    <row r="924">
      <c r="G924" s="14"/>
    </row>
    <row r="925">
      <c r="G925" s="14"/>
    </row>
    <row r="926">
      <c r="G926" s="14"/>
    </row>
    <row r="927">
      <c r="G927" s="14"/>
    </row>
    <row r="928">
      <c r="G928" s="14"/>
    </row>
    <row r="929">
      <c r="G929" s="14"/>
    </row>
    <row r="930">
      <c r="G930" s="14"/>
    </row>
    <row r="931">
      <c r="G931" s="14"/>
    </row>
    <row r="932">
      <c r="G932" s="14"/>
    </row>
    <row r="933">
      <c r="G933" s="14"/>
    </row>
    <row r="934">
      <c r="G934" s="14"/>
    </row>
    <row r="935">
      <c r="G935" s="14"/>
    </row>
    <row r="936">
      <c r="G936" s="14"/>
    </row>
    <row r="937">
      <c r="G937" s="14"/>
    </row>
    <row r="938">
      <c r="G938" s="14"/>
    </row>
    <row r="939">
      <c r="G939" s="14"/>
    </row>
    <row r="940">
      <c r="G940" s="14"/>
    </row>
    <row r="941">
      <c r="G941" s="14"/>
    </row>
    <row r="942">
      <c r="G942" s="14"/>
    </row>
    <row r="943">
      <c r="G943" s="14"/>
    </row>
    <row r="944">
      <c r="G944" s="14"/>
    </row>
    <row r="945">
      <c r="G945" s="14"/>
    </row>
    <row r="946">
      <c r="G946" s="14"/>
    </row>
    <row r="947">
      <c r="G947" s="14"/>
    </row>
    <row r="948">
      <c r="G948" s="14"/>
    </row>
    <row r="949">
      <c r="G949" s="14"/>
    </row>
    <row r="950">
      <c r="G950" s="14"/>
    </row>
    <row r="951">
      <c r="G951" s="14"/>
    </row>
    <row r="952">
      <c r="G952" s="14"/>
    </row>
    <row r="953">
      <c r="G953" s="14"/>
    </row>
    <row r="954">
      <c r="G954" s="14"/>
    </row>
    <row r="955">
      <c r="G955" s="14"/>
    </row>
    <row r="956">
      <c r="G956" s="14"/>
    </row>
    <row r="957">
      <c r="G957" s="14"/>
    </row>
    <row r="958">
      <c r="G958" s="14"/>
    </row>
    <row r="959">
      <c r="G959" s="14"/>
    </row>
    <row r="960">
      <c r="G960" s="14"/>
    </row>
    <row r="961">
      <c r="G961" s="14"/>
    </row>
    <row r="962">
      <c r="G962" s="14"/>
    </row>
    <row r="963">
      <c r="G963" s="14"/>
    </row>
    <row r="964">
      <c r="G964" s="14"/>
    </row>
    <row r="965">
      <c r="G965" s="14"/>
    </row>
    <row r="966">
      <c r="G966" s="14"/>
    </row>
    <row r="967">
      <c r="G967" s="14"/>
    </row>
    <row r="968">
      <c r="G968" s="14"/>
    </row>
    <row r="969">
      <c r="G969" s="14"/>
    </row>
    <row r="970">
      <c r="G970" s="14"/>
    </row>
    <row r="971">
      <c r="G971" s="14"/>
    </row>
    <row r="972">
      <c r="G972" s="14"/>
    </row>
    <row r="973">
      <c r="G973" s="14"/>
    </row>
    <row r="974">
      <c r="G974" s="14"/>
    </row>
    <row r="975">
      <c r="G975" s="14"/>
    </row>
    <row r="976">
      <c r="G976" s="14"/>
    </row>
    <row r="977">
      <c r="G977" s="14"/>
    </row>
    <row r="978">
      <c r="G978" s="14"/>
    </row>
    <row r="979">
      <c r="G979" s="14"/>
    </row>
    <row r="980">
      <c r="G980" s="14"/>
    </row>
    <row r="981">
      <c r="G981" s="14"/>
    </row>
    <row r="982">
      <c r="G982" s="14"/>
    </row>
    <row r="983">
      <c r="G983" s="14"/>
    </row>
    <row r="984">
      <c r="G984" s="14"/>
    </row>
    <row r="985">
      <c r="G985" s="14"/>
    </row>
    <row r="986">
      <c r="G986" s="14"/>
    </row>
    <row r="987">
      <c r="G987" s="14"/>
    </row>
    <row r="988">
      <c r="G988" s="14"/>
    </row>
    <row r="989">
      <c r="G989" s="14"/>
    </row>
    <row r="990">
      <c r="G990" s="14"/>
    </row>
    <row r="991">
      <c r="G991" s="14"/>
    </row>
    <row r="992">
      <c r="G992" s="14"/>
    </row>
    <row r="993">
      <c r="G993" s="14"/>
    </row>
    <row r="994">
      <c r="G994" s="14"/>
    </row>
    <row r="995">
      <c r="G995" s="14"/>
    </row>
    <row r="996">
      <c r="G996" s="14"/>
    </row>
    <row r="997">
      <c r="G997" s="14"/>
    </row>
    <row r="998">
      <c r="G998" s="14"/>
    </row>
    <row r="999">
      <c r="G999" s="14"/>
    </row>
    <row r="1000">
      <c r="G1000" s="14"/>
    </row>
    <row r="1001">
      <c r="G1001" s="14"/>
    </row>
    <row r="1002">
      <c r="G1002" s="14"/>
    </row>
    <row r="1003">
      <c r="G1003" s="14"/>
    </row>
    <row r="1004">
      <c r="G1004" s="14"/>
    </row>
    <row r="1005">
      <c r="G1005" s="14"/>
    </row>
    <row r="1006">
      <c r="G1006" s="14"/>
    </row>
    <row r="1007">
      <c r="G1007" s="14"/>
    </row>
    <row r="1008">
      <c r="G1008" s="14"/>
    </row>
    <row r="1009">
      <c r="G1009" s="14"/>
    </row>
    <row r="1010">
      <c r="G1010" s="14"/>
    </row>
    <row r="1011">
      <c r="G1011" s="14"/>
    </row>
    <row r="1012">
      <c r="G1012" s="14"/>
    </row>
    <row r="1013">
      <c r="G1013" s="14"/>
    </row>
    <row r="1014">
      <c r="G1014" s="14"/>
    </row>
    <row r="1015">
      <c r="G1015" s="14"/>
    </row>
    <row r="1016">
      <c r="G1016" s="14"/>
    </row>
    <row r="1017">
      <c r="G1017" s="14"/>
    </row>
    <row r="1018">
      <c r="G1018" s="14"/>
    </row>
    <row r="1019">
      <c r="G1019" s="14"/>
    </row>
    <row r="1020">
      <c r="G1020" s="14"/>
    </row>
    <row r="1021">
      <c r="G1021" s="14"/>
    </row>
  </sheetData>
  <mergeCells count="6">
    <mergeCell ref="A1:F1"/>
    <mergeCell ref="A2:F2"/>
    <mergeCell ref="A3:F3"/>
    <mergeCell ref="A4:F4"/>
    <mergeCell ref="A143:F143"/>
    <mergeCell ref="A242:F24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3.75"/>
    <col customWidth="1" min="4" max="4" width="18.75"/>
    <col customWidth="1" min="5" max="5" width="17.25"/>
    <col customWidth="1" min="6" max="6" width="24.5"/>
    <col customWidth="1" min="8" max="8" width="8.13"/>
    <col customWidth="1" min="10" max="10" width="21.63"/>
  </cols>
  <sheetData>
    <row r="1" ht="30.75" customHeight="1">
      <c r="A1" s="36" t="s">
        <v>144</v>
      </c>
      <c r="G1" s="14"/>
      <c r="H1" s="21"/>
      <c r="I1" s="8"/>
      <c r="J1" s="8"/>
    </row>
    <row r="2" ht="30.75" customHeight="1">
      <c r="A2" s="37" t="s">
        <v>238</v>
      </c>
      <c r="B2" s="38"/>
      <c r="C2" s="38"/>
      <c r="D2" s="38"/>
      <c r="E2" s="38"/>
      <c r="F2" s="39"/>
      <c r="G2" s="14"/>
      <c r="H2" s="21"/>
      <c r="I2" s="8"/>
      <c r="J2" s="8"/>
    </row>
    <row r="3" ht="30.75" customHeight="1">
      <c r="A3" s="37" t="s">
        <v>341</v>
      </c>
      <c r="B3" s="38"/>
      <c r="C3" s="38"/>
      <c r="D3" s="38"/>
      <c r="E3" s="38"/>
      <c r="F3" s="39"/>
      <c r="G3" s="14"/>
      <c r="H3" s="21"/>
      <c r="I3" s="8"/>
      <c r="J3" s="8"/>
    </row>
    <row r="4" ht="30.75" customHeight="1">
      <c r="A4" s="40"/>
      <c r="B4" s="41"/>
      <c r="C4" s="41"/>
      <c r="D4" s="41"/>
      <c r="E4" s="41"/>
      <c r="F4" s="42"/>
      <c r="G4" s="14"/>
      <c r="H4" s="21"/>
      <c r="I4" s="8"/>
      <c r="J4" s="8"/>
    </row>
    <row r="5" ht="67.5" customHeight="1">
      <c r="A5" s="43" t="s">
        <v>0</v>
      </c>
      <c r="B5" s="2" t="s">
        <v>342</v>
      </c>
      <c r="C5" s="2" t="s">
        <v>343</v>
      </c>
      <c r="D5" s="2" t="s">
        <v>344</v>
      </c>
      <c r="E5" s="2" t="s">
        <v>345</v>
      </c>
      <c r="F5" s="6" t="s">
        <v>346</v>
      </c>
      <c r="G5" s="14"/>
      <c r="H5" s="14"/>
    </row>
    <row r="6">
      <c r="A6" s="28">
        <v>1.0</v>
      </c>
      <c r="B6" s="28">
        <v>15.0</v>
      </c>
      <c r="C6" s="28">
        <v>1.0</v>
      </c>
      <c r="D6" s="28">
        <v>17.0</v>
      </c>
      <c r="E6" s="28">
        <v>1.0</v>
      </c>
      <c r="F6" s="28" t="s">
        <v>347</v>
      </c>
      <c r="G6" s="14"/>
      <c r="H6" s="14"/>
    </row>
    <row r="7">
      <c r="A7" s="28"/>
      <c r="B7" s="28"/>
      <c r="C7" s="28">
        <v>2.0</v>
      </c>
      <c r="D7" s="28">
        <v>3.5</v>
      </c>
      <c r="E7" s="28">
        <v>1.0</v>
      </c>
      <c r="F7" s="28" t="s">
        <v>198</v>
      </c>
      <c r="G7" s="14"/>
      <c r="H7" s="14"/>
    </row>
    <row r="8">
      <c r="A8" s="28"/>
      <c r="B8" s="28"/>
      <c r="C8" s="28">
        <v>3.0</v>
      </c>
      <c r="D8" s="28">
        <v>21.0</v>
      </c>
      <c r="E8" s="28">
        <v>1.0</v>
      </c>
      <c r="F8" s="28" t="s">
        <v>348</v>
      </c>
      <c r="G8" s="14"/>
      <c r="H8" s="14"/>
    </row>
    <row r="9">
      <c r="A9" s="28"/>
      <c r="B9" s="28"/>
      <c r="C9" s="28">
        <v>4.0</v>
      </c>
      <c r="D9" s="28">
        <v>14.0</v>
      </c>
      <c r="E9" s="28">
        <v>1.0</v>
      </c>
      <c r="F9" s="28" t="s">
        <v>348</v>
      </c>
      <c r="G9" s="14"/>
      <c r="H9" s="14"/>
    </row>
    <row r="10">
      <c r="A10" s="28"/>
      <c r="B10" s="28"/>
      <c r="C10" s="28">
        <v>5.0</v>
      </c>
      <c r="D10" s="28">
        <v>21.0</v>
      </c>
      <c r="E10" s="28">
        <v>1.0</v>
      </c>
      <c r="F10" s="28" t="s">
        <v>348</v>
      </c>
      <c r="G10" s="14"/>
      <c r="H10" s="14"/>
    </row>
    <row r="11">
      <c r="A11" s="28"/>
      <c r="B11" s="28"/>
      <c r="C11" s="28">
        <v>6.0</v>
      </c>
      <c r="D11" s="28">
        <v>5.0</v>
      </c>
      <c r="E11" s="28">
        <v>1.0</v>
      </c>
      <c r="F11" s="28" t="s">
        <v>198</v>
      </c>
      <c r="G11" s="14"/>
      <c r="H11" s="14"/>
    </row>
    <row r="12">
      <c r="A12" s="35"/>
      <c r="B12" s="35"/>
      <c r="C12" s="28">
        <v>7.0</v>
      </c>
      <c r="D12" s="28">
        <v>11.0</v>
      </c>
      <c r="E12" s="28">
        <v>1.0</v>
      </c>
      <c r="F12" s="28" t="s">
        <v>348</v>
      </c>
      <c r="G12" s="14"/>
      <c r="H12" s="14"/>
    </row>
    <row r="13">
      <c r="A13" s="35"/>
      <c r="B13" s="35"/>
      <c r="C13" s="28">
        <v>8.0</v>
      </c>
      <c r="D13" s="28">
        <v>12.0</v>
      </c>
      <c r="E13" s="28">
        <v>1.0</v>
      </c>
      <c r="F13" s="28" t="s">
        <v>198</v>
      </c>
      <c r="G13" s="14"/>
      <c r="H13" s="14"/>
    </row>
    <row r="14">
      <c r="A14" s="35"/>
      <c r="B14" s="35"/>
      <c r="C14" s="28">
        <v>9.0</v>
      </c>
      <c r="D14" s="28">
        <v>18.5</v>
      </c>
      <c r="E14" s="28">
        <v>1.0</v>
      </c>
      <c r="F14" s="28" t="s">
        <v>198</v>
      </c>
      <c r="G14" s="14"/>
      <c r="H14" s="14"/>
    </row>
    <row r="15">
      <c r="A15" s="35"/>
      <c r="B15" s="35"/>
      <c r="C15" s="28">
        <v>10.0</v>
      </c>
      <c r="D15" s="28">
        <v>9.5</v>
      </c>
      <c r="E15" s="28">
        <v>1.0</v>
      </c>
      <c r="F15" s="28" t="s">
        <v>198</v>
      </c>
      <c r="G15" s="14"/>
      <c r="H15" s="14"/>
    </row>
    <row r="16">
      <c r="A16" s="35"/>
      <c r="B16" s="35"/>
      <c r="C16" s="28">
        <v>11.0</v>
      </c>
      <c r="D16" s="28">
        <v>5.5</v>
      </c>
      <c r="E16" s="28">
        <v>1.0</v>
      </c>
      <c r="F16" s="28" t="s">
        <v>198</v>
      </c>
      <c r="G16" s="14"/>
      <c r="H16" s="14"/>
    </row>
    <row r="17">
      <c r="A17" s="35"/>
      <c r="B17" s="35"/>
      <c r="C17" s="28">
        <v>12.0</v>
      </c>
      <c r="D17" s="28">
        <v>5.5</v>
      </c>
      <c r="E17" s="28">
        <v>1.0</v>
      </c>
      <c r="F17" s="28" t="s">
        <v>198</v>
      </c>
      <c r="G17" s="14"/>
      <c r="H17" s="14"/>
    </row>
    <row r="18">
      <c r="A18" s="35"/>
      <c r="B18" s="35"/>
      <c r="C18" s="28">
        <v>13.0</v>
      </c>
      <c r="D18" s="28">
        <v>1.0</v>
      </c>
      <c r="E18" s="28">
        <v>1.0</v>
      </c>
      <c r="F18" s="28" t="s">
        <v>198</v>
      </c>
      <c r="G18" s="14">
        <f t="shared" ref="G18:H18" si="1">average(D6:D18)</f>
        <v>11.11538462</v>
      </c>
      <c r="H18" s="14">
        <f t="shared" si="1"/>
        <v>1</v>
      </c>
    </row>
    <row r="19">
      <c r="A19" s="28">
        <v>2.0</v>
      </c>
      <c r="B19" s="28">
        <v>15.0</v>
      </c>
      <c r="C19" s="28">
        <v>1.0</v>
      </c>
      <c r="D19" s="28">
        <v>9.0</v>
      </c>
      <c r="E19" s="28">
        <v>1.0</v>
      </c>
      <c r="F19" s="28" t="s">
        <v>349</v>
      </c>
      <c r="G19" s="14"/>
      <c r="H19" s="14"/>
    </row>
    <row r="20">
      <c r="A20" s="35"/>
      <c r="B20" s="35"/>
      <c r="C20" s="28">
        <v>2.0</v>
      </c>
      <c r="D20" s="28">
        <v>4.5</v>
      </c>
      <c r="E20" s="28">
        <v>1.0</v>
      </c>
      <c r="F20" s="28" t="s">
        <v>349</v>
      </c>
      <c r="G20" s="14"/>
      <c r="H20" s="14"/>
    </row>
    <row r="21">
      <c r="A21" s="35"/>
      <c r="B21" s="35"/>
      <c r="C21" s="28">
        <v>3.0</v>
      </c>
      <c r="D21" s="28">
        <v>8.0</v>
      </c>
      <c r="E21" s="28">
        <v>1.0</v>
      </c>
      <c r="F21" s="28" t="s">
        <v>349</v>
      </c>
      <c r="G21" s="14"/>
      <c r="H21" s="14"/>
    </row>
    <row r="22">
      <c r="A22" s="35"/>
      <c r="B22" s="35"/>
      <c r="C22" s="28">
        <v>4.0</v>
      </c>
      <c r="D22" s="28">
        <v>6.0</v>
      </c>
      <c r="E22" s="28">
        <v>1.0</v>
      </c>
      <c r="F22" s="28" t="s">
        <v>349</v>
      </c>
      <c r="G22" s="14"/>
      <c r="H22" s="14"/>
    </row>
    <row r="23">
      <c r="A23" s="35"/>
      <c r="B23" s="35"/>
      <c r="C23" s="28">
        <v>5.0</v>
      </c>
      <c r="D23" s="35"/>
      <c r="E23" s="35"/>
      <c r="F23" s="35"/>
      <c r="G23" s="14"/>
      <c r="H23" s="14"/>
    </row>
    <row r="24">
      <c r="A24" s="35"/>
      <c r="B24" s="35"/>
      <c r="C24" s="28">
        <v>6.0</v>
      </c>
      <c r="D24" s="28">
        <v>3.0</v>
      </c>
      <c r="E24" s="28">
        <v>1.0</v>
      </c>
      <c r="F24" s="28" t="s">
        <v>349</v>
      </c>
      <c r="G24" s="14"/>
      <c r="H24" s="14"/>
    </row>
    <row r="25">
      <c r="A25" s="35"/>
      <c r="B25" s="35"/>
      <c r="C25" s="28">
        <v>7.0</v>
      </c>
      <c r="D25" s="35"/>
      <c r="E25" s="35"/>
      <c r="F25" s="35"/>
      <c r="G25" s="14"/>
      <c r="H25" s="14"/>
    </row>
    <row r="26">
      <c r="A26" s="35"/>
      <c r="B26" s="35"/>
      <c r="C26" s="28">
        <v>8.0</v>
      </c>
      <c r="D26" s="35"/>
      <c r="E26" s="35"/>
      <c r="F26" s="35"/>
      <c r="G26" s="14"/>
      <c r="H26" s="14"/>
    </row>
    <row r="27">
      <c r="A27" s="35"/>
      <c r="B27" s="35"/>
      <c r="C27" s="28">
        <v>9.0</v>
      </c>
      <c r="D27" s="35"/>
      <c r="E27" s="35"/>
      <c r="F27" s="35"/>
      <c r="G27" s="14">
        <f t="shared" ref="G27:H27" si="2">average(D19:D27)</f>
        <v>6.1</v>
      </c>
      <c r="H27" s="14">
        <f t="shared" si="2"/>
        <v>1</v>
      </c>
    </row>
    <row r="28">
      <c r="A28" s="28">
        <v>3.0</v>
      </c>
      <c r="B28" s="28">
        <v>21.0</v>
      </c>
      <c r="C28" s="28">
        <v>1.0</v>
      </c>
      <c r="D28" s="28">
        <v>5.5</v>
      </c>
      <c r="E28" s="28">
        <v>1.0</v>
      </c>
      <c r="F28" s="28" t="s">
        <v>198</v>
      </c>
      <c r="G28" s="14"/>
      <c r="H28" s="14"/>
    </row>
    <row r="29">
      <c r="A29" s="35"/>
      <c r="B29" s="35"/>
      <c r="C29" s="28">
        <v>2.0</v>
      </c>
      <c r="D29" s="28">
        <v>2.5</v>
      </c>
      <c r="E29" s="28">
        <v>1.0</v>
      </c>
      <c r="F29" s="28" t="s">
        <v>198</v>
      </c>
      <c r="G29" s="14"/>
      <c r="H29" s="14"/>
    </row>
    <row r="30">
      <c r="A30" s="35"/>
      <c r="B30" s="35"/>
      <c r="C30" s="28">
        <v>3.0</v>
      </c>
      <c r="D30" s="28">
        <v>3.0</v>
      </c>
      <c r="E30" s="28">
        <v>1.0</v>
      </c>
      <c r="F30" s="28" t="s">
        <v>198</v>
      </c>
      <c r="G30" s="14"/>
      <c r="H30" s="14"/>
    </row>
    <row r="31">
      <c r="A31" s="35"/>
      <c r="B31" s="35"/>
      <c r="C31" s="28">
        <v>4.0</v>
      </c>
      <c r="D31" s="28">
        <v>3.5</v>
      </c>
      <c r="E31" s="28">
        <v>1.0</v>
      </c>
      <c r="F31" s="28" t="s">
        <v>198</v>
      </c>
      <c r="G31" s="14"/>
      <c r="H31" s="14"/>
    </row>
    <row r="32">
      <c r="A32" s="35"/>
      <c r="B32" s="35"/>
      <c r="C32" s="28">
        <v>5.0</v>
      </c>
      <c r="D32" s="28">
        <v>4.0</v>
      </c>
      <c r="E32" s="28">
        <v>1.0</v>
      </c>
      <c r="F32" s="28" t="s">
        <v>349</v>
      </c>
      <c r="G32" s="14"/>
      <c r="H32" s="14"/>
    </row>
    <row r="33">
      <c r="A33" s="35"/>
      <c r="B33" s="35"/>
      <c r="C33" s="28">
        <v>6.0</v>
      </c>
      <c r="D33" s="28">
        <v>3.0</v>
      </c>
      <c r="E33" s="28">
        <v>1.0</v>
      </c>
      <c r="F33" s="28" t="s">
        <v>198</v>
      </c>
      <c r="G33" s="14"/>
      <c r="H33" s="14"/>
    </row>
    <row r="34">
      <c r="A34" s="35"/>
      <c r="B34" s="35"/>
      <c r="C34" s="28">
        <v>7.0</v>
      </c>
      <c r="D34" s="28">
        <v>2.0</v>
      </c>
      <c r="E34" s="28">
        <v>1.0</v>
      </c>
      <c r="F34" s="28" t="s">
        <v>198</v>
      </c>
      <c r="G34" s="14"/>
      <c r="H34" s="14"/>
    </row>
    <row r="35">
      <c r="A35" s="35"/>
      <c r="B35" s="35"/>
      <c r="C35" s="28">
        <v>8.0</v>
      </c>
      <c r="D35" s="28">
        <v>3.0</v>
      </c>
      <c r="E35" s="28">
        <v>1.0</v>
      </c>
      <c r="F35" s="28" t="s">
        <v>198</v>
      </c>
      <c r="G35" s="14">
        <f t="shared" ref="G35:H35" si="3">average(D28:D35)</f>
        <v>3.3125</v>
      </c>
      <c r="H35" s="14">
        <f t="shared" si="3"/>
        <v>1</v>
      </c>
    </row>
    <row r="36">
      <c r="A36" s="28">
        <v>4.0</v>
      </c>
      <c r="B36" s="28">
        <v>15.0</v>
      </c>
      <c r="C36" s="28">
        <v>1.0</v>
      </c>
      <c r="D36" s="28">
        <v>4.0</v>
      </c>
      <c r="E36" s="28">
        <v>1.0</v>
      </c>
      <c r="F36" s="28" t="s">
        <v>198</v>
      </c>
      <c r="G36" s="14"/>
      <c r="H36" s="14"/>
    </row>
    <row r="37">
      <c r="A37" s="35"/>
      <c r="B37" s="35"/>
      <c r="C37" s="28">
        <v>2.0</v>
      </c>
      <c r="D37" s="28">
        <v>3.5</v>
      </c>
      <c r="E37" s="28">
        <v>1.0</v>
      </c>
      <c r="F37" s="28" t="s">
        <v>349</v>
      </c>
      <c r="G37" s="14"/>
      <c r="H37" s="14"/>
    </row>
    <row r="38">
      <c r="A38" s="35"/>
      <c r="B38" s="35"/>
      <c r="C38" s="28">
        <v>3.0</v>
      </c>
      <c r="D38" s="28">
        <v>4.5</v>
      </c>
      <c r="E38" s="28">
        <v>1.0</v>
      </c>
      <c r="F38" s="28" t="s">
        <v>349</v>
      </c>
      <c r="G38" s="14"/>
      <c r="H38" s="14"/>
    </row>
    <row r="39">
      <c r="A39" s="35"/>
      <c r="B39" s="35"/>
      <c r="C39" s="28">
        <v>4.0</v>
      </c>
      <c r="D39" s="28">
        <v>3.5</v>
      </c>
      <c r="E39" s="28">
        <v>1.0</v>
      </c>
      <c r="F39" s="28" t="s">
        <v>198</v>
      </c>
      <c r="G39" s="14"/>
      <c r="H39" s="14"/>
    </row>
    <row r="40">
      <c r="A40" s="35"/>
      <c r="B40" s="35"/>
      <c r="C40" s="28">
        <v>5.0</v>
      </c>
      <c r="D40" s="28">
        <v>4.0</v>
      </c>
      <c r="E40" s="28">
        <v>1.0</v>
      </c>
      <c r="F40" s="28" t="s">
        <v>198</v>
      </c>
      <c r="G40" s="14"/>
      <c r="H40" s="14"/>
    </row>
    <row r="41">
      <c r="A41" s="35"/>
      <c r="B41" s="35"/>
      <c r="C41" s="28">
        <v>6.0</v>
      </c>
      <c r="D41" s="28">
        <v>3.5</v>
      </c>
      <c r="E41" s="28">
        <v>1.0</v>
      </c>
      <c r="F41" s="28" t="s">
        <v>198</v>
      </c>
      <c r="G41" s="14"/>
      <c r="H41" s="14"/>
    </row>
    <row r="42">
      <c r="A42" s="35"/>
      <c r="B42" s="35"/>
      <c r="C42" s="28">
        <v>7.0</v>
      </c>
      <c r="D42" s="28">
        <v>5.0</v>
      </c>
      <c r="E42" s="28">
        <v>1.0</v>
      </c>
      <c r="F42" s="28" t="s">
        <v>349</v>
      </c>
      <c r="G42" s="14"/>
      <c r="H42" s="14"/>
    </row>
    <row r="43">
      <c r="A43" s="35"/>
      <c r="B43" s="35"/>
      <c r="C43" s="28">
        <v>8.0</v>
      </c>
      <c r="D43" s="28">
        <v>3.5</v>
      </c>
      <c r="E43" s="28">
        <v>1.0</v>
      </c>
      <c r="F43" s="28" t="s">
        <v>198</v>
      </c>
      <c r="G43" s="14"/>
      <c r="H43" s="14"/>
    </row>
    <row r="44">
      <c r="A44" s="35"/>
      <c r="B44" s="35"/>
      <c r="C44" s="28">
        <v>9.0</v>
      </c>
      <c r="D44" s="28">
        <v>5.0</v>
      </c>
      <c r="E44" s="28">
        <v>1.0</v>
      </c>
      <c r="F44" s="28" t="s">
        <v>198</v>
      </c>
      <c r="G44" s="14"/>
      <c r="H44" s="14"/>
    </row>
    <row r="45">
      <c r="A45" s="35"/>
      <c r="B45" s="35"/>
      <c r="C45" s="28">
        <v>10.0</v>
      </c>
      <c r="D45" s="28">
        <v>4.0</v>
      </c>
      <c r="E45" s="28">
        <v>1.0</v>
      </c>
      <c r="F45" s="28" t="s">
        <v>198</v>
      </c>
      <c r="G45" s="14"/>
      <c r="H45" s="14"/>
    </row>
    <row r="46">
      <c r="A46" s="35"/>
      <c r="B46" s="35"/>
      <c r="C46" s="28">
        <v>11.0</v>
      </c>
      <c r="D46" s="28">
        <v>4.5</v>
      </c>
      <c r="E46" s="28">
        <v>1.0</v>
      </c>
      <c r="F46" s="28" t="s">
        <v>198</v>
      </c>
      <c r="G46" s="14"/>
      <c r="H46" s="14"/>
    </row>
    <row r="47">
      <c r="A47" s="35"/>
      <c r="B47" s="35"/>
      <c r="C47" s="28">
        <v>12.0</v>
      </c>
      <c r="D47" s="28">
        <v>2.5</v>
      </c>
      <c r="E47" s="28">
        <v>1.0</v>
      </c>
      <c r="F47" s="28" t="s">
        <v>198</v>
      </c>
      <c r="G47" s="14">
        <f t="shared" ref="G47:H47" si="4">average(D36:D47)</f>
        <v>3.958333333</v>
      </c>
      <c r="H47" s="14">
        <f t="shared" si="4"/>
        <v>1</v>
      </c>
    </row>
    <row r="48">
      <c r="A48" s="28">
        <v>7.0</v>
      </c>
      <c r="B48" s="28">
        <v>9.0</v>
      </c>
      <c r="C48" s="28">
        <v>1.0</v>
      </c>
      <c r="D48" s="8">
        <v>9.5</v>
      </c>
      <c r="E48" s="28">
        <v>1.0</v>
      </c>
      <c r="F48" s="28" t="s">
        <v>348</v>
      </c>
      <c r="G48" s="14"/>
      <c r="H48" s="14"/>
    </row>
    <row r="49">
      <c r="A49" s="35"/>
      <c r="B49" s="35"/>
      <c r="C49" s="28">
        <v>2.0</v>
      </c>
      <c r="D49" s="28">
        <v>33.0</v>
      </c>
      <c r="E49" s="28">
        <v>1.0</v>
      </c>
      <c r="F49" s="28" t="s">
        <v>348</v>
      </c>
      <c r="G49" s="14"/>
      <c r="H49" s="14"/>
    </row>
    <row r="50">
      <c r="A50" s="35"/>
      <c r="B50" s="35"/>
      <c r="C50" s="28">
        <v>3.0</v>
      </c>
      <c r="D50" s="28">
        <v>24.5</v>
      </c>
      <c r="E50" s="28">
        <v>1.0</v>
      </c>
      <c r="F50" s="28" t="s">
        <v>348</v>
      </c>
      <c r="G50" s="14"/>
      <c r="H50" s="14"/>
    </row>
    <row r="51">
      <c r="A51" s="35"/>
      <c r="B51" s="35"/>
      <c r="C51" s="28">
        <v>4.0</v>
      </c>
      <c r="D51" s="28">
        <v>27.0</v>
      </c>
      <c r="E51" s="28">
        <v>1.0</v>
      </c>
      <c r="F51" s="28" t="s">
        <v>348</v>
      </c>
      <c r="G51" s="14"/>
      <c r="H51" s="14"/>
    </row>
    <row r="52">
      <c r="A52" s="35"/>
      <c r="B52" s="35"/>
      <c r="C52" s="28">
        <v>5.0</v>
      </c>
      <c r="D52" s="28">
        <v>31.0</v>
      </c>
      <c r="E52" s="28">
        <v>1.0</v>
      </c>
      <c r="F52" s="28" t="s">
        <v>348</v>
      </c>
      <c r="G52" s="14"/>
      <c r="H52" s="14"/>
    </row>
    <row r="53">
      <c r="A53" s="35"/>
      <c r="B53" s="35"/>
      <c r="C53" s="28">
        <v>6.0</v>
      </c>
      <c r="D53" s="28">
        <v>7.0</v>
      </c>
      <c r="E53" s="28">
        <v>1.0</v>
      </c>
      <c r="F53" s="28" t="s">
        <v>349</v>
      </c>
      <c r="G53" s="14"/>
      <c r="H53" s="14"/>
    </row>
    <row r="54">
      <c r="A54" s="35"/>
      <c r="B54" s="35"/>
      <c r="C54" s="28">
        <v>7.0</v>
      </c>
      <c r="D54" s="28">
        <v>7.0</v>
      </c>
      <c r="E54" s="28">
        <v>1.0</v>
      </c>
      <c r="F54" s="35"/>
      <c r="G54" s="14"/>
      <c r="H54" s="14"/>
    </row>
    <row r="55">
      <c r="A55" s="35"/>
      <c r="B55" s="35"/>
      <c r="C55" s="28">
        <v>8.0</v>
      </c>
      <c r="D55" s="28">
        <v>10.0</v>
      </c>
      <c r="E55" s="28">
        <v>1.0</v>
      </c>
      <c r="F55" s="35"/>
      <c r="G55" s="14">
        <f t="shared" ref="G55:H55" si="5">average(D48:D55)</f>
        <v>18.625</v>
      </c>
      <c r="H55" s="14">
        <f t="shared" si="5"/>
        <v>1</v>
      </c>
    </row>
    <row r="56" ht="30.75" customHeight="1">
      <c r="A56" s="36" t="s">
        <v>144</v>
      </c>
      <c r="G56" s="14"/>
      <c r="H56" s="21"/>
      <c r="I56" s="8"/>
      <c r="J56" s="8"/>
    </row>
    <row r="57" ht="30.75" customHeight="1">
      <c r="A57" s="37" t="s">
        <v>288</v>
      </c>
      <c r="B57" s="38"/>
      <c r="C57" s="38"/>
      <c r="D57" s="38"/>
      <c r="E57" s="38"/>
      <c r="F57" s="39"/>
      <c r="G57" s="14"/>
      <c r="H57" s="21"/>
      <c r="I57" s="8"/>
      <c r="J57" s="8"/>
    </row>
    <row r="58" ht="30.75" customHeight="1">
      <c r="A58" s="37" t="s">
        <v>341</v>
      </c>
      <c r="B58" s="38"/>
      <c r="C58" s="38"/>
      <c r="D58" s="38"/>
      <c r="E58" s="38"/>
      <c r="F58" s="39"/>
      <c r="G58" s="14"/>
      <c r="H58" s="21"/>
      <c r="I58" s="8"/>
      <c r="J58" s="8"/>
    </row>
    <row r="59" ht="30.75" customHeight="1">
      <c r="A59" s="40"/>
      <c r="B59" s="41"/>
      <c r="C59" s="41"/>
      <c r="D59" s="41"/>
      <c r="E59" s="41"/>
      <c r="F59" s="42"/>
      <c r="G59" s="14"/>
      <c r="H59" s="21"/>
      <c r="I59" s="8"/>
      <c r="J59" s="8"/>
    </row>
    <row r="60" ht="67.5" customHeight="1">
      <c r="A60" s="43" t="s">
        <v>0</v>
      </c>
      <c r="B60" s="2" t="s">
        <v>350</v>
      </c>
      <c r="C60" s="2" t="s">
        <v>351</v>
      </c>
      <c r="D60" s="2" t="s">
        <v>352</v>
      </c>
      <c r="E60" s="2" t="s">
        <v>353</v>
      </c>
      <c r="F60" s="6" t="s">
        <v>354</v>
      </c>
      <c r="G60" s="14"/>
      <c r="H60" s="14"/>
    </row>
    <row r="61">
      <c r="A61" s="28">
        <v>1.0</v>
      </c>
      <c r="B61" s="28">
        <v>10.0</v>
      </c>
      <c r="C61" s="35"/>
      <c r="D61" s="28">
        <v>23.0</v>
      </c>
      <c r="E61" s="35"/>
      <c r="F61" s="35"/>
      <c r="G61" s="14"/>
      <c r="H61" s="14"/>
    </row>
    <row r="62">
      <c r="A62" s="35"/>
      <c r="B62" s="35"/>
      <c r="C62" s="35"/>
      <c r="D62" s="28">
        <v>23.0</v>
      </c>
      <c r="E62" s="35"/>
      <c r="F62" s="35"/>
      <c r="G62" s="14">
        <f>average(D61:D62)</f>
        <v>23</v>
      </c>
      <c r="H62" s="14"/>
    </row>
    <row r="63">
      <c r="A63" s="28">
        <v>2.0</v>
      </c>
      <c r="B63" s="28">
        <v>10.0</v>
      </c>
      <c r="C63" s="35"/>
      <c r="D63" s="28">
        <v>14.0</v>
      </c>
      <c r="E63" s="35"/>
      <c r="F63" s="35"/>
      <c r="G63" s="14">
        <f>D63</f>
        <v>14</v>
      </c>
      <c r="H63" s="14"/>
    </row>
    <row r="64">
      <c r="A64" s="28">
        <v>6.0</v>
      </c>
      <c r="B64" s="28">
        <v>9.0</v>
      </c>
      <c r="C64" s="35"/>
      <c r="D64" s="28">
        <v>3.0</v>
      </c>
      <c r="E64" s="35"/>
      <c r="F64" s="35"/>
      <c r="G64" s="14"/>
      <c r="H64" s="14"/>
    </row>
    <row r="65">
      <c r="A65" s="35"/>
      <c r="B65" s="35"/>
      <c r="C65" s="35"/>
      <c r="D65" s="28">
        <v>7.0</v>
      </c>
      <c r="E65" s="35"/>
      <c r="F65" s="35"/>
      <c r="G65" s="14"/>
      <c r="H65" s="14"/>
    </row>
    <row r="66">
      <c r="A66" s="35"/>
      <c r="B66" s="35"/>
      <c r="C66" s="35"/>
      <c r="D66" s="28">
        <v>6.0</v>
      </c>
      <c r="E66" s="35"/>
      <c r="F66" s="35"/>
      <c r="G66" s="14"/>
      <c r="H66" s="14"/>
    </row>
    <row r="67">
      <c r="A67" s="35"/>
      <c r="B67" s="35"/>
      <c r="D67" s="28">
        <v>8.0</v>
      </c>
      <c r="E67" s="35"/>
      <c r="F67" s="35"/>
      <c r="G67" s="14">
        <f>average(D64:D67)</f>
        <v>6</v>
      </c>
      <c r="H67" s="14"/>
    </row>
    <row r="68">
      <c r="A68" s="28">
        <v>7.0</v>
      </c>
      <c r="B68" s="28">
        <v>9.0</v>
      </c>
      <c r="C68" s="35"/>
      <c r="D68" s="28">
        <v>9.0</v>
      </c>
      <c r="E68" s="35"/>
      <c r="F68" s="35"/>
      <c r="G68" s="14"/>
      <c r="H68" s="14"/>
    </row>
    <row r="69">
      <c r="A69" s="35"/>
      <c r="B69" s="35"/>
      <c r="C69" s="35"/>
      <c r="D69" s="28">
        <v>8.0</v>
      </c>
      <c r="E69" s="35"/>
      <c r="F69" s="35"/>
      <c r="G69" s="14"/>
      <c r="H69" s="14"/>
    </row>
    <row r="70">
      <c r="A70" s="35"/>
      <c r="B70" s="35"/>
      <c r="C70" s="35"/>
      <c r="D70" s="28">
        <v>14.0</v>
      </c>
      <c r="E70" s="35"/>
      <c r="F70" s="35"/>
      <c r="G70" s="14"/>
      <c r="H70" s="14"/>
    </row>
    <row r="71">
      <c r="A71" s="35"/>
      <c r="B71" s="35"/>
      <c r="C71" s="35"/>
      <c r="D71" s="28">
        <v>9.0</v>
      </c>
      <c r="E71" s="35"/>
      <c r="F71" s="35"/>
      <c r="G71" s="14">
        <f>average(D68:D71)</f>
        <v>10</v>
      </c>
      <c r="H71" s="14"/>
    </row>
    <row r="72">
      <c r="A72" s="28">
        <v>9.0</v>
      </c>
      <c r="B72" s="28">
        <v>1.0</v>
      </c>
      <c r="C72" s="28"/>
      <c r="D72" s="28">
        <v>32.0</v>
      </c>
      <c r="E72" s="35"/>
      <c r="F72" s="35"/>
      <c r="G72" s="14">
        <f>D72</f>
        <v>32</v>
      </c>
      <c r="H72" s="14"/>
    </row>
    <row r="73">
      <c r="A73" s="28">
        <v>10.0</v>
      </c>
      <c r="B73" s="28">
        <v>9.0</v>
      </c>
      <c r="C73" s="35"/>
      <c r="D73" s="35"/>
      <c r="E73" s="35"/>
      <c r="F73" s="35"/>
      <c r="G73" s="14"/>
      <c r="H73" s="14"/>
    </row>
    <row r="74">
      <c r="A74" s="28">
        <v>11.0</v>
      </c>
      <c r="B74" s="28">
        <v>9.0</v>
      </c>
      <c r="C74" s="35"/>
      <c r="D74" s="28">
        <v>6.0</v>
      </c>
      <c r="E74" s="35"/>
      <c r="F74" s="35"/>
      <c r="G74" s="14"/>
      <c r="H74" s="14"/>
    </row>
    <row r="75">
      <c r="A75" s="35"/>
      <c r="B75" s="35"/>
      <c r="C75" s="35"/>
      <c r="D75" s="28">
        <v>14.0</v>
      </c>
      <c r="E75" s="35"/>
      <c r="F75" s="35"/>
      <c r="G75" s="14"/>
      <c r="H75" s="14"/>
    </row>
    <row r="76">
      <c r="A76" s="35"/>
      <c r="B76" s="35"/>
      <c r="C76" s="35"/>
      <c r="D76" s="28">
        <v>9.0</v>
      </c>
      <c r="E76" s="35"/>
      <c r="F76" s="35"/>
      <c r="G76" s="14"/>
      <c r="H76" s="14"/>
    </row>
    <row r="77">
      <c r="A77" s="35"/>
      <c r="B77" s="35"/>
      <c r="C77" s="35"/>
      <c r="D77" s="28">
        <v>5.0</v>
      </c>
      <c r="E77" s="35"/>
      <c r="F77" s="35"/>
      <c r="G77" s="14"/>
      <c r="H77" s="14"/>
    </row>
    <row r="78">
      <c r="A78" s="35"/>
      <c r="B78" s="35"/>
      <c r="C78" s="35"/>
      <c r="D78" s="28">
        <v>3.0</v>
      </c>
      <c r="E78" s="35"/>
      <c r="F78" s="35"/>
      <c r="G78" s="14">
        <f>average(D74:D78)</f>
        <v>7.4</v>
      </c>
      <c r="H78" s="14"/>
    </row>
    <row r="79">
      <c r="A79" s="28">
        <v>12.0</v>
      </c>
      <c r="B79" s="28">
        <v>13.0</v>
      </c>
      <c r="C79" s="35"/>
      <c r="D79" s="28">
        <v>9.0</v>
      </c>
      <c r="E79" s="35"/>
      <c r="F79" s="35"/>
      <c r="G79" s="14"/>
      <c r="H79" s="14"/>
    </row>
    <row r="80">
      <c r="A80" s="35"/>
      <c r="B80" s="35"/>
      <c r="C80" s="35"/>
      <c r="D80" s="28">
        <v>10.0</v>
      </c>
      <c r="E80" s="35"/>
      <c r="F80" s="35"/>
      <c r="G80" s="14"/>
      <c r="H80" s="14"/>
    </row>
    <row r="81">
      <c r="A81" s="35"/>
      <c r="B81" s="35"/>
      <c r="C81" s="35"/>
      <c r="D81" s="28">
        <v>9.0</v>
      </c>
      <c r="E81" s="35"/>
      <c r="F81" s="35"/>
      <c r="G81" s="14"/>
      <c r="H81" s="14"/>
    </row>
    <row r="82">
      <c r="A82" s="35"/>
      <c r="B82" s="35"/>
      <c r="C82" s="35"/>
      <c r="D82" s="28">
        <v>14.0</v>
      </c>
      <c r="E82" s="35"/>
      <c r="F82" s="35"/>
      <c r="G82" s="14"/>
      <c r="H82" s="14"/>
    </row>
    <row r="83">
      <c r="A83" s="35"/>
      <c r="B83" s="35"/>
      <c r="C83" s="35"/>
      <c r="D83" s="28">
        <v>9.0</v>
      </c>
      <c r="E83" s="35"/>
      <c r="F83" s="35"/>
      <c r="G83" s="14">
        <f>average(D79:D83)</f>
        <v>10.2</v>
      </c>
      <c r="H83" s="14"/>
    </row>
    <row r="84" ht="30.75" customHeight="1">
      <c r="A84" s="36" t="s">
        <v>144</v>
      </c>
      <c r="G84" s="14"/>
      <c r="H84" s="21"/>
      <c r="I84" s="8"/>
      <c r="J84" s="8"/>
    </row>
    <row r="85" ht="30.75" customHeight="1">
      <c r="A85" s="37" t="s">
        <v>355</v>
      </c>
      <c r="B85" s="38"/>
      <c r="C85" s="38"/>
      <c r="D85" s="38"/>
      <c r="E85" s="38"/>
      <c r="F85" s="39"/>
      <c r="G85" s="14"/>
      <c r="H85" s="21"/>
      <c r="I85" s="8"/>
      <c r="J85" s="8"/>
    </row>
    <row r="86" ht="30.75" customHeight="1">
      <c r="A86" s="37" t="s">
        <v>341</v>
      </c>
      <c r="B86" s="38"/>
      <c r="C86" s="38"/>
      <c r="D86" s="38"/>
      <c r="E86" s="38"/>
      <c r="F86" s="39"/>
      <c r="G86" s="14"/>
      <c r="H86" s="21"/>
      <c r="I86" s="8"/>
      <c r="J86" s="8"/>
    </row>
    <row r="87" ht="30.75" customHeight="1">
      <c r="A87" s="40"/>
      <c r="B87" s="41"/>
      <c r="C87" s="41"/>
      <c r="D87" s="41"/>
      <c r="E87" s="41"/>
      <c r="F87" s="42"/>
      <c r="G87" s="14"/>
      <c r="H87" s="21"/>
      <c r="I87" s="8"/>
      <c r="J87" s="8"/>
    </row>
    <row r="88" ht="67.5" customHeight="1">
      <c r="A88" s="43" t="s">
        <v>0</v>
      </c>
      <c r="B88" s="2" t="s">
        <v>356</v>
      </c>
      <c r="C88" s="2" t="s">
        <v>357</v>
      </c>
      <c r="D88" s="2" t="s">
        <v>358</v>
      </c>
      <c r="E88" s="2" t="s">
        <v>359</v>
      </c>
      <c r="F88" s="6" t="s">
        <v>360</v>
      </c>
      <c r="G88" s="14"/>
      <c r="H88" s="14"/>
    </row>
    <row r="89">
      <c r="A89" s="28">
        <v>3.0</v>
      </c>
      <c r="B89" s="35"/>
      <c r="C89" s="35"/>
      <c r="D89" s="35"/>
      <c r="E89" s="35"/>
      <c r="F89" s="35"/>
      <c r="G89" s="14"/>
      <c r="H89" s="14"/>
    </row>
    <row r="90">
      <c r="A90" s="28">
        <v>5.0</v>
      </c>
      <c r="B90" s="35"/>
      <c r="C90" s="35"/>
      <c r="D90" s="35"/>
      <c r="E90" s="35"/>
      <c r="F90" s="35"/>
      <c r="G90" s="14"/>
      <c r="H90" s="14"/>
    </row>
    <row r="91">
      <c r="A91" s="28">
        <v>6.0</v>
      </c>
      <c r="B91" s="35"/>
      <c r="C91" s="35"/>
      <c r="D91" s="28">
        <v>3.0</v>
      </c>
      <c r="E91" s="35"/>
      <c r="F91" s="35"/>
      <c r="G91" s="14"/>
      <c r="H91" s="14"/>
    </row>
    <row r="92">
      <c r="A92" s="35"/>
      <c r="B92" s="35"/>
      <c r="C92" s="35"/>
      <c r="D92" s="28">
        <v>4.0</v>
      </c>
      <c r="E92" s="35"/>
      <c r="F92" s="35"/>
      <c r="G92" s="14"/>
      <c r="H92" s="14"/>
    </row>
    <row r="93">
      <c r="A93" s="35"/>
      <c r="B93" s="35"/>
      <c r="C93" s="35"/>
      <c r="D93" s="28">
        <v>4.0</v>
      </c>
      <c r="E93" s="35"/>
      <c r="F93" s="35"/>
      <c r="G93" s="14"/>
      <c r="H93" s="14"/>
    </row>
    <row r="94">
      <c r="A94" s="35"/>
      <c r="B94" s="35"/>
      <c r="C94" s="35"/>
      <c r="D94" s="28">
        <v>8.0</v>
      </c>
      <c r="E94" s="35"/>
      <c r="F94" s="35"/>
      <c r="G94" s="14">
        <f>average(D91:D94)</f>
        <v>4.75</v>
      </c>
      <c r="H94" s="14"/>
    </row>
    <row r="95" ht="30.75" customHeight="1">
      <c r="A95" s="36" t="s">
        <v>144</v>
      </c>
      <c r="G95" s="14"/>
      <c r="H95" s="21"/>
      <c r="I95" s="8"/>
      <c r="J95" s="8"/>
    </row>
    <row r="96" ht="30.75" customHeight="1">
      <c r="A96" s="37" t="s">
        <v>276</v>
      </c>
      <c r="B96" s="38"/>
      <c r="C96" s="38"/>
      <c r="D96" s="38"/>
      <c r="E96" s="38"/>
      <c r="F96" s="39"/>
      <c r="G96" s="14"/>
      <c r="H96" s="21"/>
      <c r="I96" s="8"/>
      <c r="J96" s="8"/>
    </row>
    <row r="97" ht="30.75" customHeight="1">
      <c r="A97" s="37" t="s">
        <v>341</v>
      </c>
      <c r="B97" s="38"/>
      <c r="C97" s="38"/>
      <c r="D97" s="38"/>
      <c r="E97" s="38"/>
      <c r="F97" s="39"/>
      <c r="G97" s="14"/>
      <c r="H97" s="21"/>
      <c r="I97" s="8"/>
      <c r="J97" s="8"/>
    </row>
    <row r="98" ht="30.75" customHeight="1">
      <c r="A98" s="40"/>
      <c r="B98" s="41"/>
      <c r="C98" s="41"/>
      <c r="D98" s="41"/>
      <c r="E98" s="41"/>
      <c r="F98" s="42"/>
      <c r="G98" s="14"/>
      <c r="H98" s="21"/>
      <c r="I98" s="8"/>
      <c r="J98" s="8"/>
    </row>
    <row r="99" ht="67.5" customHeight="1">
      <c r="A99" s="43" t="s">
        <v>0</v>
      </c>
      <c r="B99" s="2" t="s">
        <v>361</v>
      </c>
      <c r="C99" s="2" t="s">
        <v>362</v>
      </c>
      <c r="D99" s="2" t="s">
        <v>363</v>
      </c>
      <c r="E99" s="2" t="s">
        <v>364</v>
      </c>
      <c r="F99" s="6" t="s">
        <v>365</v>
      </c>
      <c r="G99" s="14"/>
      <c r="H99" s="14"/>
    </row>
    <row r="100">
      <c r="A100" s="28">
        <v>1.0</v>
      </c>
      <c r="B100" s="35"/>
      <c r="C100" s="35"/>
      <c r="D100" s="35"/>
      <c r="E100" s="35"/>
      <c r="F100" s="35"/>
      <c r="G100" s="14"/>
      <c r="H100" s="14"/>
    </row>
    <row r="101">
      <c r="A101" s="28">
        <v>2.0</v>
      </c>
      <c r="B101" s="35"/>
      <c r="C101" s="35"/>
      <c r="D101" s="35"/>
      <c r="E101" s="35"/>
      <c r="F101" s="35"/>
      <c r="G101" s="14"/>
      <c r="H101" s="14"/>
    </row>
    <row r="102">
      <c r="A102" s="28">
        <v>3.0</v>
      </c>
      <c r="B102" s="35"/>
      <c r="C102" s="35"/>
      <c r="D102" s="35"/>
      <c r="E102" s="35"/>
      <c r="F102" s="35"/>
      <c r="G102" s="14"/>
      <c r="H102" s="14"/>
    </row>
    <row r="103">
      <c r="A103" s="28">
        <v>4.0</v>
      </c>
      <c r="B103" s="35"/>
      <c r="C103" s="35"/>
      <c r="D103" s="35"/>
      <c r="E103" s="35"/>
      <c r="F103" s="35"/>
      <c r="G103" s="14"/>
      <c r="H103" s="14"/>
    </row>
    <row r="104">
      <c r="A104" s="28">
        <v>5.0</v>
      </c>
      <c r="B104" s="35"/>
      <c r="C104" s="35"/>
      <c r="D104" s="35"/>
      <c r="E104" s="35"/>
      <c r="F104" s="35"/>
      <c r="G104" s="14"/>
      <c r="H104" s="14"/>
    </row>
    <row r="105">
      <c r="A105" s="28">
        <v>6.0</v>
      </c>
      <c r="B105" s="35"/>
      <c r="C105" s="35"/>
      <c r="D105" s="28">
        <v>6.0</v>
      </c>
      <c r="E105" s="35"/>
      <c r="F105" s="35"/>
      <c r="G105" s="14"/>
      <c r="H105" s="14"/>
    </row>
    <row r="106">
      <c r="A106" s="28">
        <v>7.0</v>
      </c>
      <c r="B106" s="35"/>
      <c r="C106" s="35"/>
      <c r="D106" s="28">
        <v>9.0</v>
      </c>
      <c r="E106" s="35"/>
      <c r="F106" s="35"/>
      <c r="G106" s="14"/>
      <c r="H106" s="14"/>
    </row>
    <row r="107">
      <c r="A107" s="35"/>
      <c r="B107" s="35"/>
      <c r="C107" s="35"/>
      <c r="D107" s="28">
        <v>10.0</v>
      </c>
      <c r="E107" s="35"/>
      <c r="F107" s="35"/>
      <c r="G107" s="14">
        <f>average(D106:D107)</f>
        <v>9.5</v>
      </c>
      <c r="H107" s="14"/>
    </row>
    <row r="108">
      <c r="A108" s="28">
        <v>8.0</v>
      </c>
      <c r="B108" s="35"/>
      <c r="C108" s="35"/>
      <c r="D108" s="28">
        <v>16.0</v>
      </c>
      <c r="E108" s="35"/>
      <c r="F108" s="35"/>
      <c r="G108" s="14"/>
      <c r="H108" s="14"/>
    </row>
    <row r="109">
      <c r="A109" s="35"/>
      <c r="B109" s="35"/>
      <c r="C109" s="35"/>
      <c r="D109" s="28">
        <v>11.0</v>
      </c>
      <c r="E109" s="35"/>
      <c r="F109" s="35"/>
      <c r="G109" s="14">
        <f>average(D108:D109)</f>
        <v>13.5</v>
      </c>
      <c r="H109" s="14"/>
    </row>
    <row r="110">
      <c r="A110" s="28">
        <v>9.0</v>
      </c>
      <c r="B110" s="35"/>
      <c r="C110" s="35"/>
      <c r="D110" s="28">
        <v>9.0</v>
      </c>
      <c r="E110" s="35"/>
      <c r="F110" s="35"/>
      <c r="G110" s="14"/>
      <c r="H110" s="14"/>
    </row>
    <row r="111">
      <c r="A111" s="35"/>
      <c r="B111" s="35"/>
      <c r="C111" s="35"/>
      <c r="D111" s="28">
        <v>12.0</v>
      </c>
      <c r="E111" s="35"/>
      <c r="F111" s="35"/>
      <c r="G111" s="14">
        <f>average(D110:D111)</f>
        <v>10.5</v>
      </c>
      <c r="H111" s="14"/>
    </row>
    <row r="112">
      <c r="A112" s="28">
        <v>10.0</v>
      </c>
      <c r="B112" s="35"/>
      <c r="C112" s="35"/>
      <c r="D112" s="35"/>
      <c r="E112" s="35"/>
      <c r="F112" s="35"/>
      <c r="G112" s="14"/>
      <c r="H112" s="14"/>
    </row>
    <row r="113">
      <c r="A113" s="28">
        <v>12.0</v>
      </c>
      <c r="B113" s="35"/>
      <c r="C113" s="35"/>
      <c r="D113" s="28">
        <v>9.0</v>
      </c>
      <c r="E113" s="35"/>
      <c r="F113" s="35"/>
      <c r="G113" s="14"/>
      <c r="H113" s="14"/>
    </row>
    <row r="114">
      <c r="A114" s="35"/>
      <c r="B114" s="35"/>
      <c r="C114" s="35"/>
      <c r="D114" s="28">
        <v>16.0</v>
      </c>
      <c r="E114" s="35"/>
      <c r="F114" s="35"/>
      <c r="G114" s="14">
        <f>average(D113:D114)</f>
        <v>12.5</v>
      </c>
      <c r="H114" s="14"/>
    </row>
    <row r="115">
      <c r="A115" s="35"/>
      <c r="B115" s="35"/>
      <c r="C115" s="35"/>
      <c r="D115" s="35"/>
      <c r="E115" s="35"/>
      <c r="F115" s="35"/>
      <c r="G115" s="14"/>
      <c r="H115" s="14"/>
    </row>
    <row r="116">
      <c r="G116" s="14"/>
      <c r="H116" s="14"/>
    </row>
    <row r="117">
      <c r="G117" s="14"/>
      <c r="H117" s="14"/>
    </row>
    <row r="118">
      <c r="G118" s="14"/>
      <c r="H118" s="14"/>
    </row>
    <row r="119">
      <c r="G119" s="14"/>
      <c r="H119" s="14"/>
    </row>
    <row r="120">
      <c r="G120" s="14"/>
      <c r="H120" s="14"/>
    </row>
    <row r="121">
      <c r="G121" s="14"/>
      <c r="H121" s="14"/>
    </row>
    <row r="122">
      <c r="G122" s="14"/>
      <c r="H122" s="14"/>
    </row>
    <row r="123">
      <c r="G123" s="14"/>
      <c r="H123" s="14"/>
    </row>
    <row r="124">
      <c r="G124" s="14"/>
      <c r="H124" s="14"/>
    </row>
    <row r="125">
      <c r="C125" s="44" t="s">
        <v>157</v>
      </c>
      <c r="D125" s="44" t="s">
        <v>158</v>
      </c>
      <c r="E125" s="44" t="s">
        <v>159</v>
      </c>
      <c r="F125" s="44" t="s">
        <v>160</v>
      </c>
      <c r="G125" s="14"/>
      <c r="H125" s="14"/>
    </row>
    <row r="126">
      <c r="C126" s="28" t="s">
        <v>161</v>
      </c>
      <c r="D126" s="28" t="s">
        <v>162</v>
      </c>
      <c r="E126" s="28" t="s">
        <v>163</v>
      </c>
      <c r="F126" s="28" t="s">
        <v>164</v>
      </c>
      <c r="G126" s="14"/>
      <c r="H126" s="14"/>
    </row>
    <row r="127">
      <c r="C127" s="28" t="s">
        <v>165</v>
      </c>
      <c r="D127" s="28" t="s">
        <v>166</v>
      </c>
      <c r="E127" s="28" t="s">
        <v>167</v>
      </c>
      <c r="F127" s="28" t="s">
        <v>168</v>
      </c>
      <c r="G127" s="14"/>
      <c r="H127" s="14"/>
    </row>
    <row r="128">
      <c r="C128" s="28" t="s">
        <v>169</v>
      </c>
      <c r="D128" s="28" t="s">
        <v>170</v>
      </c>
      <c r="E128" s="28" t="s">
        <v>171</v>
      </c>
      <c r="F128" s="28" t="s">
        <v>172</v>
      </c>
      <c r="G128" s="14"/>
      <c r="H128" s="14"/>
    </row>
    <row r="129">
      <c r="C129" s="28" t="s">
        <v>173</v>
      </c>
      <c r="D129" s="28" t="s">
        <v>174</v>
      </c>
      <c r="E129" s="28" t="s">
        <v>175</v>
      </c>
      <c r="F129" s="35"/>
      <c r="G129" s="14"/>
      <c r="H129" s="14"/>
    </row>
    <row r="130">
      <c r="C130" s="28" t="s">
        <v>176</v>
      </c>
      <c r="D130" s="28" t="s">
        <v>177</v>
      </c>
      <c r="E130" s="28" t="s">
        <v>178</v>
      </c>
      <c r="F130" s="35"/>
      <c r="G130" s="14"/>
      <c r="H130" s="14"/>
    </row>
    <row r="131">
      <c r="C131" s="28" t="s">
        <v>179</v>
      </c>
      <c r="D131" s="28" t="s">
        <v>180</v>
      </c>
      <c r="E131" s="35"/>
      <c r="F131" s="35"/>
      <c r="G131" s="14"/>
      <c r="H131" s="14"/>
    </row>
    <row r="132">
      <c r="C132" s="28" t="s">
        <v>181</v>
      </c>
      <c r="D132" s="28" t="s">
        <v>130</v>
      </c>
      <c r="E132" s="35"/>
      <c r="F132" s="35"/>
      <c r="G132" s="14"/>
      <c r="H132" s="14"/>
    </row>
    <row r="133">
      <c r="C133" s="28" t="s">
        <v>182</v>
      </c>
      <c r="D133" s="28" t="s">
        <v>132</v>
      </c>
      <c r="E133" s="35"/>
      <c r="F133" s="35"/>
      <c r="G133" s="14"/>
      <c r="H133" s="14"/>
    </row>
    <row r="134">
      <c r="G134" s="14"/>
      <c r="H134" s="14"/>
    </row>
    <row r="135">
      <c r="G135" s="14"/>
      <c r="H135" s="14"/>
    </row>
    <row r="136">
      <c r="G136" s="14"/>
      <c r="H136" s="14"/>
    </row>
    <row r="137">
      <c r="G137" s="14"/>
      <c r="H137" s="14"/>
    </row>
    <row r="138">
      <c r="G138" s="14"/>
      <c r="H138" s="14"/>
    </row>
    <row r="139">
      <c r="G139" s="14"/>
      <c r="H139" s="14"/>
    </row>
    <row r="140">
      <c r="G140" s="14"/>
      <c r="H140" s="14"/>
    </row>
    <row r="141">
      <c r="G141" s="14"/>
      <c r="H141" s="14"/>
    </row>
    <row r="142">
      <c r="G142" s="14"/>
      <c r="H142" s="14"/>
    </row>
    <row r="143">
      <c r="G143" s="14"/>
      <c r="H143" s="14"/>
    </row>
    <row r="144">
      <c r="G144" s="14"/>
      <c r="H144" s="14"/>
    </row>
    <row r="145">
      <c r="G145" s="14"/>
      <c r="H145" s="14"/>
    </row>
    <row r="146">
      <c r="G146" s="14"/>
      <c r="H146" s="14"/>
    </row>
    <row r="147">
      <c r="G147" s="14"/>
      <c r="H147" s="14"/>
    </row>
    <row r="148">
      <c r="G148" s="14"/>
      <c r="H148" s="14"/>
    </row>
    <row r="149">
      <c r="G149" s="14"/>
      <c r="H149" s="14"/>
    </row>
    <row r="150">
      <c r="G150" s="14"/>
      <c r="H150" s="14"/>
    </row>
    <row r="151">
      <c r="G151" s="14"/>
      <c r="H151" s="14"/>
    </row>
    <row r="152">
      <c r="G152" s="14"/>
      <c r="H152" s="14"/>
    </row>
    <row r="153">
      <c r="G153" s="14"/>
      <c r="H153" s="14"/>
    </row>
    <row r="154">
      <c r="G154" s="14"/>
      <c r="H154" s="14"/>
    </row>
    <row r="155">
      <c r="G155" s="14"/>
      <c r="H155" s="14"/>
    </row>
    <row r="156">
      <c r="G156" s="14"/>
      <c r="H156" s="14"/>
    </row>
    <row r="157">
      <c r="G157" s="14"/>
      <c r="H157" s="14"/>
    </row>
    <row r="158">
      <c r="G158" s="14"/>
      <c r="H158" s="14"/>
    </row>
    <row r="159">
      <c r="G159" s="14"/>
      <c r="H159" s="14"/>
    </row>
    <row r="160">
      <c r="G160" s="14"/>
      <c r="H160" s="14"/>
    </row>
    <row r="161">
      <c r="G161" s="14"/>
      <c r="H161" s="14"/>
    </row>
    <row r="162">
      <c r="G162" s="14"/>
      <c r="H162" s="14"/>
    </row>
    <row r="163">
      <c r="G163" s="14"/>
      <c r="H163" s="14"/>
    </row>
    <row r="164">
      <c r="G164" s="14"/>
      <c r="H164" s="14"/>
    </row>
    <row r="165">
      <c r="G165" s="14"/>
      <c r="H165" s="14"/>
    </row>
    <row r="166">
      <c r="G166" s="14"/>
      <c r="H166" s="14"/>
    </row>
    <row r="167">
      <c r="G167" s="14"/>
      <c r="H167" s="14"/>
    </row>
    <row r="168">
      <c r="G168" s="14"/>
      <c r="H168" s="14"/>
    </row>
    <row r="169">
      <c r="G169" s="14"/>
      <c r="H169" s="14"/>
    </row>
    <row r="170">
      <c r="G170" s="14"/>
      <c r="H170" s="14"/>
    </row>
    <row r="171">
      <c r="G171" s="14"/>
      <c r="H171" s="14"/>
    </row>
    <row r="172">
      <c r="G172" s="14"/>
      <c r="H172" s="14"/>
    </row>
    <row r="173">
      <c r="G173" s="14"/>
      <c r="H173" s="14"/>
    </row>
    <row r="174">
      <c r="G174" s="14"/>
      <c r="H174" s="14"/>
    </row>
    <row r="175">
      <c r="G175" s="14"/>
      <c r="H175" s="14"/>
    </row>
    <row r="176">
      <c r="G176" s="14"/>
      <c r="H176" s="14"/>
    </row>
    <row r="177">
      <c r="G177" s="14"/>
      <c r="H177" s="14"/>
    </row>
    <row r="178">
      <c r="G178" s="14"/>
      <c r="H178" s="14"/>
    </row>
    <row r="179">
      <c r="G179" s="14"/>
      <c r="H179" s="14"/>
    </row>
    <row r="180">
      <c r="G180" s="14"/>
      <c r="H180" s="14"/>
    </row>
    <row r="181">
      <c r="G181" s="14"/>
      <c r="H181" s="14"/>
    </row>
    <row r="182">
      <c r="G182" s="14"/>
      <c r="H182" s="14"/>
    </row>
    <row r="183">
      <c r="G183" s="14"/>
      <c r="H183" s="14"/>
    </row>
    <row r="184">
      <c r="G184" s="14"/>
      <c r="H184" s="14"/>
    </row>
    <row r="185">
      <c r="G185" s="14"/>
      <c r="H185" s="14"/>
    </row>
    <row r="186">
      <c r="G186" s="14"/>
      <c r="H186" s="14"/>
    </row>
    <row r="187">
      <c r="G187" s="14"/>
      <c r="H187" s="14"/>
    </row>
    <row r="188">
      <c r="G188" s="14"/>
      <c r="H188" s="14"/>
    </row>
    <row r="189">
      <c r="G189" s="14"/>
      <c r="H189" s="14"/>
    </row>
    <row r="190">
      <c r="G190" s="14"/>
      <c r="H190" s="14"/>
    </row>
    <row r="191">
      <c r="G191" s="14"/>
      <c r="H191" s="14"/>
    </row>
    <row r="192">
      <c r="G192" s="14"/>
      <c r="H192" s="14"/>
    </row>
    <row r="193">
      <c r="G193" s="14"/>
      <c r="H193" s="14"/>
    </row>
    <row r="194">
      <c r="G194" s="14"/>
      <c r="H194" s="14"/>
    </row>
    <row r="195">
      <c r="G195" s="14"/>
      <c r="H195" s="14"/>
    </row>
    <row r="196">
      <c r="G196" s="14"/>
      <c r="H196" s="14"/>
    </row>
    <row r="197">
      <c r="G197" s="14"/>
      <c r="H197" s="14"/>
    </row>
    <row r="198">
      <c r="G198" s="14"/>
      <c r="H198" s="14"/>
    </row>
    <row r="199">
      <c r="G199" s="14"/>
      <c r="H199" s="14"/>
    </row>
    <row r="200">
      <c r="G200" s="14"/>
      <c r="H200" s="14"/>
    </row>
    <row r="201">
      <c r="G201" s="14"/>
      <c r="H201" s="14"/>
    </row>
    <row r="202">
      <c r="G202" s="14"/>
      <c r="H202" s="14"/>
    </row>
    <row r="203">
      <c r="G203" s="14"/>
      <c r="H203" s="14"/>
    </row>
    <row r="204">
      <c r="G204" s="14"/>
      <c r="H204" s="14"/>
    </row>
    <row r="205">
      <c r="G205" s="14"/>
      <c r="H205" s="14"/>
    </row>
    <row r="206">
      <c r="G206" s="14"/>
      <c r="H206" s="14"/>
    </row>
    <row r="207">
      <c r="G207" s="14"/>
      <c r="H207" s="14"/>
    </row>
    <row r="208">
      <c r="G208" s="14"/>
      <c r="H208" s="14"/>
    </row>
    <row r="209">
      <c r="G209" s="14"/>
      <c r="H209" s="14"/>
    </row>
    <row r="210">
      <c r="G210" s="14"/>
      <c r="H210" s="14"/>
    </row>
    <row r="211">
      <c r="G211" s="14"/>
      <c r="H211" s="14"/>
    </row>
    <row r="212">
      <c r="G212" s="14"/>
      <c r="H212" s="14"/>
    </row>
    <row r="213">
      <c r="G213" s="14"/>
      <c r="H213" s="14"/>
    </row>
    <row r="214">
      <c r="G214" s="14"/>
      <c r="H214" s="14"/>
    </row>
    <row r="215">
      <c r="G215" s="14"/>
      <c r="H215" s="14"/>
    </row>
    <row r="216">
      <c r="G216" s="14"/>
      <c r="H216" s="14"/>
    </row>
    <row r="217">
      <c r="G217" s="14"/>
      <c r="H217" s="14"/>
    </row>
    <row r="218">
      <c r="G218" s="14"/>
      <c r="H218" s="14"/>
    </row>
    <row r="219">
      <c r="G219" s="14"/>
      <c r="H219" s="14"/>
    </row>
    <row r="220">
      <c r="G220" s="14"/>
      <c r="H220" s="14"/>
    </row>
    <row r="221">
      <c r="G221" s="14"/>
      <c r="H221" s="14"/>
    </row>
    <row r="222">
      <c r="G222" s="14"/>
      <c r="H222" s="14"/>
    </row>
    <row r="223">
      <c r="G223" s="14"/>
      <c r="H223" s="14"/>
    </row>
    <row r="224">
      <c r="G224" s="14"/>
      <c r="H224" s="14"/>
    </row>
    <row r="225">
      <c r="G225" s="14"/>
      <c r="H225" s="14"/>
    </row>
    <row r="226">
      <c r="G226" s="14"/>
      <c r="H226" s="14"/>
    </row>
    <row r="227">
      <c r="G227" s="14"/>
      <c r="H227" s="14"/>
    </row>
    <row r="228">
      <c r="G228" s="14"/>
      <c r="H228" s="14"/>
    </row>
    <row r="229">
      <c r="G229" s="14"/>
      <c r="H229" s="14"/>
    </row>
    <row r="230">
      <c r="G230" s="14"/>
      <c r="H230" s="14"/>
    </row>
    <row r="231">
      <c r="G231" s="14"/>
      <c r="H231" s="14"/>
    </row>
    <row r="232">
      <c r="G232" s="14"/>
      <c r="H232" s="14"/>
    </row>
    <row r="233">
      <c r="G233" s="14"/>
      <c r="H233" s="14"/>
    </row>
    <row r="234">
      <c r="G234" s="14"/>
      <c r="H234" s="14"/>
    </row>
    <row r="235">
      <c r="G235" s="14"/>
      <c r="H235" s="14"/>
    </row>
    <row r="236">
      <c r="G236" s="14"/>
      <c r="H236" s="14"/>
    </row>
    <row r="237">
      <c r="G237" s="14"/>
      <c r="H237" s="14"/>
    </row>
    <row r="238">
      <c r="G238" s="14"/>
      <c r="H238" s="14"/>
    </row>
    <row r="239">
      <c r="G239" s="14"/>
      <c r="H239" s="14"/>
    </row>
    <row r="240">
      <c r="G240" s="14"/>
      <c r="H240" s="14"/>
    </row>
    <row r="241">
      <c r="G241" s="14"/>
      <c r="H241" s="14"/>
    </row>
    <row r="242">
      <c r="G242" s="14"/>
      <c r="H242" s="14"/>
    </row>
    <row r="243">
      <c r="G243" s="14"/>
      <c r="H243" s="14"/>
    </row>
    <row r="244">
      <c r="G244" s="14"/>
      <c r="H244" s="14"/>
    </row>
    <row r="245">
      <c r="G245" s="14"/>
      <c r="H245" s="14"/>
    </row>
    <row r="246">
      <c r="G246" s="14"/>
      <c r="H246" s="14"/>
    </row>
    <row r="247">
      <c r="G247" s="14"/>
      <c r="H247" s="14"/>
    </row>
    <row r="248">
      <c r="G248" s="14"/>
      <c r="H248" s="14"/>
    </row>
    <row r="249">
      <c r="G249" s="14"/>
      <c r="H249" s="14"/>
    </row>
    <row r="250">
      <c r="G250" s="14"/>
      <c r="H250" s="14"/>
    </row>
    <row r="251">
      <c r="G251" s="14"/>
      <c r="H251" s="14"/>
    </row>
    <row r="252">
      <c r="G252" s="14"/>
      <c r="H252" s="14"/>
    </row>
    <row r="253">
      <c r="G253" s="14"/>
      <c r="H253" s="14"/>
    </row>
    <row r="254">
      <c r="G254" s="14"/>
      <c r="H254" s="14"/>
    </row>
    <row r="255">
      <c r="G255" s="14"/>
      <c r="H255" s="14"/>
    </row>
    <row r="256">
      <c r="G256" s="14"/>
      <c r="H256" s="14"/>
    </row>
    <row r="257">
      <c r="G257" s="14"/>
      <c r="H257" s="14"/>
    </row>
    <row r="258">
      <c r="G258" s="14"/>
      <c r="H258" s="14"/>
    </row>
    <row r="259">
      <c r="G259" s="14"/>
      <c r="H259" s="14"/>
    </row>
    <row r="260">
      <c r="G260" s="14"/>
      <c r="H260" s="14"/>
    </row>
    <row r="261">
      <c r="G261" s="14"/>
      <c r="H261" s="14"/>
    </row>
    <row r="262">
      <c r="G262" s="14"/>
      <c r="H262" s="14"/>
    </row>
    <row r="263">
      <c r="G263" s="14"/>
      <c r="H263" s="14"/>
    </row>
    <row r="264">
      <c r="G264" s="14"/>
      <c r="H264" s="14"/>
    </row>
    <row r="265">
      <c r="G265" s="14"/>
      <c r="H265" s="14"/>
    </row>
    <row r="266">
      <c r="G266" s="14"/>
      <c r="H266" s="14"/>
    </row>
    <row r="267">
      <c r="G267" s="14"/>
      <c r="H267" s="14"/>
    </row>
    <row r="268">
      <c r="G268" s="14"/>
      <c r="H268" s="14"/>
    </row>
    <row r="269">
      <c r="G269" s="14"/>
      <c r="H269" s="14"/>
    </row>
    <row r="270">
      <c r="G270" s="14"/>
      <c r="H270" s="14"/>
    </row>
    <row r="271">
      <c r="G271" s="14"/>
      <c r="H271" s="14"/>
    </row>
    <row r="272">
      <c r="G272" s="14"/>
      <c r="H272" s="14"/>
    </row>
    <row r="273">
      <c r="G273" s="14"/>
      <c r="H273" s="14"/>
    </row>
    <row r="274">
      <c r="G274" s="14"/>
      <c r="H274" s="14"/>
    </row>
    <row r="275">
      <c r="G275" s="14"/>
      <c r="H275" s="14"/>
    </row>
    <row r="276">
      <c r="G276" s="14"/>
      <c r="H276" s="14"/>
    </row>
    <row r="277">
      <c r="G277" s="14"/>
      <c r="H277" s="14"/>
    </row>
    <row r="278">
      <c r="G278" s="14"/>
      <c r="H278" s="14"/>
    </row>
    <row r="279">
      <c r="G279" s="14"/>
      <c r="H279" s="14"/>
    </row>
    <row r="280">
      <c r="G280" s="14"/>
      <c r="H280" s="14"/>
    </row>
    <row r="281">
      <c r="G281" s="14"/>
      <c r="H281" s="14"/>
    </row>
    <row r="282">
      <c r="G282" s="14"/>
      <c r="H282" s="14"/>
    </row>
    <row r="283">
      <c r="G283" s="14"/>
      <c r="H283" s="14"/>
    </row>
    <row r="284">
      <c r="G284" s="14"/>
      <c r="H284" s="14"/>
    </row>
    <row r="285">
      <c r="G285" s="14"/>
      <c r="H285" s="14"/>
    </row>
    <row r="286">
      <c r="G286" s="14"/>
      <c r="H286" s="14"/>
    </row>
    <row r="287">
      <c r="G287" s="14"/>
      <c r="H287" s="14"/>
    </row>
    <row r="288">
      <c r="G288" s="14"/>
      <c r="H288" s="14"/>
    </row>
    <row r="289">
      <c r="G289" s="14"/>
      <c r="H289" s="14"/>
    </row>
    <row r="290">
      <c r="G290" s="14"/>
      <c r="H290" s="14"/>
    </row>
    <row r="291">
      <c r="G291" s="14"/>
      <c r="H291" s="14"/>
    </row>
    <row r="292">
      <c r="G292" s="14"/>
      <c r="H292" s="14"/>
    </row>
    <row r="293">
      <c r="G293" s="14"/>
      <c r="H293" s="14"/>
    </row>
    <row r="294">
      <c r="G294" s="14"/>
      <c r="H294" s="14"/>
    </row>
    <row r="295">
      <c r="G295" s="14"/>
      <c r="H295" s="14"/>
    </row>
    <row r="296">
      <c r="G296" s="14"/>
      <c r="H296" s="14"/>
    </row>
    <row r="297">
      <c r="G297" s="14"/>
      <c r="H297" s="14"/>
    </row>
    <row r="298">
      <c r="G298" s="14"/>
      <c r="H298" s="14"/>
    </row>
    <row r="299">
      <c r="G299" s="14"/>
      <c r="H299" s="14"/>
    </row>
    <row r="300">
      <c r="G300" s="14"/>
      <c r="H300" s="14"/>
    </row>
    <row r="301">
      <c r="G301" s="14"/>
      <c r="H301" s="14"/>
    </row>
    <row r="302">
      <c r="G302" s="14"/>
      <c r="H302" s="14"/>
    </row>
    <row r="303">
      <c r="G303" s="14"/>
      <c r="H303" s="14"/>
    </row>
    <row r="304">
      <c r="G304" s="14"/>
      <c r="H304" s="14"/>
    </row>
    <row r="305">
      <c r="G305" s="14"/>
      <c r="H305" s="14"/>
    </row>
    <row r="306">
      <c r="G306" s="14"/>
      <c r="H306" s="14"/>
    </row>
    <row r="307">
      <c r="G307" s="14"/>
      <c r="H307" s="14"/>
    </row>
    <row r="308">
      <c r="G308" s="14"/>
      <c r="H308" s="14"/>
    </row>
    <row r="309">
      <c r="G309" s="14"/>
      <c r="H309" s="14"/>
    </row>
    <row r="310">
      <c r="G310" s="14"/>
      <c r="H310" s="14"/>
    </row>
    <row r="311">
      <c r="G311" s="14"/>
      <c r="H311" s="14"/>
    </row>
    <row r="312">
      <c r="G312" s="14"/>
      <c r="H312" s="14"/>
    </row>
    <row r="313">
      <c r="G313" s="14"/>
      <c r="H313" s="14"/>
    </row>
    <row r="314">
      <c r="G314" s="14"/>
      <c r="H314" s="14"/>
    </row>
    <row r="315">
      <c r="G315" s="14"/>
      <c r="H315" s="14"/>
    </row>
    <row r="316">
      <c r="G316" s="14"/>
      <c r="H316" s="14"/>
    </row>
    <row r="317">
      <c r="G317" s="14"/>
      <c r="H317" s="14"/>
    </row>
    <row r="318">
      <c r="G318" s="14"/>
      <c r="H318" s="14"/>
    </row>
    <row r="319">
      <c r="G319" s="14"/>
      <c r="H319" s="14"/>
    </row>
    <row r="320">
      <c r="G320" s="14"/>
      <c r="H320" s="14"/>
    </row>
    <row r="321">
      <c r="G321" s="14"/>
      <c r="H321" s="14"/>
    </row>
    <row r="322">
      <c r="G322" s="14"/>
      <c r="H322" s="14"/>
    </row>
    <row r="323">
      <c r="G323" s="14"/>
      <c r="H323" s="14"/>
    </row>
    <row r="324">
      <c r="G324" s="14"/>
      <c r="H324" s="14"/>
    </row>
    <row r="325">
      <c r="G325" s="14"/>
      <c r="H325" s="14"/>
    </row>
    <row r="326">
      <c r="G326" s="14"/>
      <c r="H326" s="14"/>
    </row>
    <row r="327">
      <c r="G327" s="14"/>
      <c r="H327" s="14"/>
    </row>
    <row r="328">
      <c r="G328" s="14"/>
      <c r="H328" s="14"/>
    </row>
    <row r="329">
      <c r="G329" s="14"/>
      <c r="H329" s="14"/>
    </row>
    <row r="330">
      <c r="G330" s="14"/>
      <c r="H330" s="14"/>
    </row>
    <row r="331">
      <c r="G331" s="14"/>
      <c r="H331" s="14"/>
    </row>
    <row r="332">
      <c r="G332" s="14"/>
      <c r="H332" s="14"/>
    </row>
    <row r="333">
      <c r="G333" s="14"/>
      <c r="H333" s="14"/>
    </row>
    <row r="334">
      <c r="G334" s="14"/>
      <c r="H334" s="14"/>
    </row>
    <row r="335">
      <c r="G335" s="14"/>
      <c r="H335" s="14"/>
    </row>
    <row r="336">
      <c r="G336" s="14"/>
      <c r="H336" s="14"/>
    </row>
    <row r="337">
      <c r="G337" s="14"/>
      <c r="H337" s="14"/>
    </row>
    <row r="338">
      <c r="G338" s="14"/>
      <c r="H338" s="14"/>
    </row>
    <row r="339">
      <c r="G339" s="14"/>
      <c r="H339" s="14"/>
    </row>
    <row r="340">
      <c r="G340" s="14"/>
      <c r="H340" s="14"/>
    </row>
    <row r="341">
      <c r="G341" s="14"/>
      <c r="H341" s="14"/>
    </row>
    <row r="342">
      <c r="G342" s="14"/>
      <c r="H342" s="14"/>
    </row>
    <row r="343">
      <c r="G343" s="14"/>
      <c r="H343" s="14"/>
    </row>
    <row r="344">
      <c r="G344" s="14"/>
      <c r="H344" s="14"/>
    </row>
    <row r="345">
      <c r="G345" s="14"/>
      <c r="H345" s="14"/>
    </row>
    <row r="346">
      <c r="G346" s="14"/>
      <c r="H346" s="14"/>
    </row>
    <row r="347">
      <c r="G347" s="14"/>
      <c r="H347" s="14"/>
    </row>
    <row r="348">
      <c r="G348" s="14"/>
      <c r="H348" s="14"/>
    </row>
    <row r="349">
      <c r="G349" s="14"/>
      <c r="H349" s="14"/>
    </row>
    <row r="350">
      <c r="G350" s="14"/>
      <c r="H350" s="14"/>
    </row>
    <row r="351">
      <c r="G351" s="14"/>
      <c r="H351" s="14"/>
    </row>
    <row r="352">
      <c r="G352" s="14"/>
      <c r="H352" s="14"/>
    </row>
    <row r="353">
      <c r="G353" s="14"/>
      <c r="H353" s="14"/>
    </row>
    <row r="354">
      <c r="G354" s="14"/>
      <c r="H354" s="14"/>
    </row>
    <row r="355">
      <c r="G355" s="14"/>
      <c r="H355" s="14"/>
    </row>
    <row r="356">
      <c r="G356" s="14"/>
      <c r="H356" s="14"/>
    </row>
    <row r="357">
      <c r="G357" s="14"/>
      <c r="H357" s="14"/>
    </row>
    <row r="358">
      <c r="G358" s="14"/>
      <c r="H358" s="14"/>
    </row>
    <row r="359">
      <c r="G359" s="14"/>
      <c r="H359" s="14"/>
    </row>
    <row r="360">
      <c r="G360" s="14"/>
      <c r="H360" s="14"/>
    </row>
    <row r="361">
      <c r="G361" s="14"/>
      <c r="H361" s="14"/>
    </row>
    <row r="362">
      <c r="G362" s="14"/>
      <c r="H362" s="14"/>
    </row>
    <row r="363">
      <c r="G363" s="14"/>
      <c r="H363" s="14"/>
    </row>
    <row r="364">
      <c r="G364" s="14"/>
      <c r="H364" s="14"/>
    </row>
    <row r="365">
      <c r="G365" s="14"/>
      <c r="H365" s="14"/>
    </row>
    <row r="366">
      <c r="G366" s="14"/>
      <c r="H366" s="14"/>
    </row>
    <row r="367">
      <c r="G367" s="14"/>
      <c r="H367" s="14"/>
    </row>
    <row r="368">
      <c r="G368" s="14"/>
      <c r="H368" s="14"/>
    </row>
    <row r="369">
      <c r="G369" s="14"/>
      <c r="H369" s="14"/>
    </row>
    <row r="370">
      <c r="G370" s="14"/>
      <c r="H370" s="14"/>
    </row>
    <row r="371">
      <c r="G371" s="14"/>
      <c r="H371" s="14"/>
    </row>
    <row r="372">
      <c r="G372" s="14"/>
      <c r="H372" s="14"/>
    </row>
    <row r="373">
      <c r="G373" s="14"/>
      <c r="H373" s="14"/>
    </row>
    <row r="374">
      <c r="G374" s="14"/>
      <c r="H374" s="14"/>
    </row>
    <row r="375">
      <c r="G375" s="14"/>
      <c r="H375" s="14"/>
    </row>
    <row r="376">
      <c r="G376" s="14"/>
      <c r="H376" s="14"/>
    </row>
    <row r="377">
      <c r="G377" s="14"/>
      <c r="H377" s="14"/>
    </row>
    <row r="378">
      <c r="G378" s="14"/>
      <c r="H378" s="14"/>
    </row>
    <row r="379">
      <c r="G379" s="14"/>
      <c r="H379" s="14"/>
    </row>
    <row r="380">
      <c r="G380" s="14"/>
      <c r="H380" s="14"/>
    </row>
    <row r="381">
      <c r="G381" s="14"/>
      <c r="H381" s="14"/>
    </row>
    <row r="382">
      <c r="G382" s="14"/>
      <c r="H382" s="14"/>
    </row>
    <row r="383">
      <c r="G383" s="14"/>
      <c r="H383" s="14"/>
    </row>
    <row r="384">
      <c r="G384" s="14"/>
      <c r="H384" s="14"/>
    </row>
    <row r="385">
      <c r="G385" s="14"/>
      <c r="H385" s="14"/>
    </row>
    <row r="386">
      <c r="G386" s="14"/>
      <c r="H386" s="14"/>
    </row>
    <row r="387">
      <c r="G387" s="14"/>
      <c r="H387" s="14"/>
    </row>
    <row r="388">
      <c r="G388" s="14"/>
      <c r="H388" s="14"/>
    </row>
    <row r="389">
      <c r="G389" s="14"/>
      <c r="H389" s="14"/>
    </row>
    <row r="390">
      <c r="G390" s="14"/>
      <c r="H390" s="14"/>
    </row>
    <row r="391">
      <c r="G391" s="14"/>
      <c r="H391" s="14"/>
    </row>
    <row r="392">
      <c r="G392" s="14"/>
      <c r="H392" s="14"/>
    </row>
    <row r="393">
      <c r="G393" s="14"/>
      <c r="H393" s="14"/>
    </row>
    <row r="394">
      <c r="G394" s="14"/>
      <c r="H394" s="14"/>
    </row>
    <row r="395">
      <c r="G395" s="14"/>
      <c r="H395" s="14"/>
    </row>
    <row r="396">
      <c r="G396" s="14"/>
      <c r="H396" s="14"/>
    </row>
    <row r="397">
      <c r="G397" s="14"/>
      <c r="H397" s="14"/>
    </row>
    <row r="398">
      <c r="G398" s="14"/>
      <c r="H398" s="14"/>
    </row>
    <row r="399">
      <c r="G399" s="14"/>
      <c r="H399" s="14"/>
    </row>
    <row r="400">
      <c r="G400" s="14"/>
      <c r="H400" s="14"/>
    </row>
    <row r="401">
      <c r="G401" s="14"/>
      <c r="H401" s="14"/>
    </row>
    <row r="402">
      <c r="G402" s="14"/>
      <c r="H402" s="14"/>
    </row>
    <row r="403">
      <c r="G403" s="14"/>
      <c r="H403" s="14"/>
    </row>
    <row r="404">
      <c r="G404" s="14"/>
      <c r="H404" s="14"/>
    </row>
    <row r="405">
      <c r="G405" s="14"/>
      <c r="H405" s="14"/>
    </row>
    <row r="406">
      <c r="G406" s="14"/>
      <c r="H406" s="14"/>
    </row>
    <row r="407">
      <c r="G407" s="14"/>
      <c r="H407" s="14"/>
    </row>
    <row r="408">
      <c r="G408" s="14"/>
      <c r="H408" s="14"/>
    </row>
    <row r="409">
      <c r="G409" s="14"/>
      <c r="H409" s="14"/>
    </row>
    <row r="410">
      <c r="G410" s="14"/>
      <c r="H410" s="14"/>
    </row>
    <row r="411">
      <c r="G411" s="14"/>
      <c r="H411" s="14"/>
    </row>
    <row r="412">
      <c r="G412" s="14"/>
      <c r="H412" s="14"/>
    </row>
    <row r="413">
      <c r="G413" s="14"/>
      <c r="H413" s="14"/>
    </row>
    <row r="414">
      <c r="G414" s="14"/>
      <c r="H414" s="14"/>
    </row>
    <row r="415">
      <c r="G415" s="14"/>
      <c r="H415" s="14"/>
    </row>
    <row r="416">
      <c r="G416" s="14"/>
      <c r="H416" s="14"/>
    </row>
    <row r="417">
      <c r="G417" s="14"/>
      <c r="H417" s="14"/>
    </row>
    <row r="418">
      <c r="G418" s="14"/>
      <c r="H418" s="14"/>
    </row>
    <row r="419">
      <c r="G419" s="14"/>
      <c r="H419" s="14"/>
    </row>
    <row r="420">
      <c r="G420" s="14"/>
      <c r="H420" s="14"/>
    </row>
    <row r="421">
      <c r="G421" s="14"/>
      <c r="H421" s="14"/>
    </row>
    <row r="422">
      <c r="G422" s="14"/>
      <c r="H422" s="14"/>
    </row>
    <row r="423">
      <c r="G423" s="14"/>
      <c r="H423" s="14"/>
    </row>
    <row r="424">
      <c r="G424" s="14"/>
      <c r="H424" s="14"/>
    </row>
    <row r="425">
      <c r="G425" s="14"/>
      <c r="H425" s="14"/>
    </row>
    <row r="426">
      <c r="G426" s="14"/>
      <c r="H426" s="14"/>
    </row>
    <row r="427">
      <c r="G427" s="14"/>
      <c r="H427" s="14"/>
    </row>
    <row r="428">
      <c r="G428" s="14"/>
      <c r="H428" s="14"/>
    </row>
    <row r="429">
      <c r="G429" s="14"/>
      <c r="H429" s="14"/>
    </row>
    <row r="430">
      <c r="G430" s="14"/>
      <c r="H430" s="14"/>
    </row>
    <row r="431">
      <c r="G431" s="14"/>
      <c r="H431" s="14"/>
    </row>
    <row r="432">
      <c r="G432" s="14"/>
      <c r="H432" s="14"/>
    </row>
    <row r="433">
      <c r="G433" s="14"/>
      <c r="H433" s="14"/>
    </row>
    <row r="434">
      <c r="G434" s="14"/>
      <c r="H434" s="14"/>
    </row>
    <row r="435">
      <c r="G435" s="14"/>
      <c r="H435" s="14"/>
    </row>
    <row r="436">
      <c r="G436" s="14"/>
      <c r="H436" s="14"/>
    </row>
    <row r="437">
      <c r="G437" s="14"/>
      <c r="H437" s="14"/>
    </row>
    <row r="438">
      <c r="G438" s="14"/>
      <c r="H438" s="14"/>
    </row>
    <row r="439">
      <c r="G439" s="14"/>
      <c r="H439" s="14"/>
    </row>
    <row r="440">
      <c r="G440" s="14"/>
      <c r="H440" s="14"/>
    </row>
    <row r="441">
      <c r="G441" s="14"/>
      <c r="H441" s="14"/>
    </row>
    <row r="442">
      <c r="G442" s="14"/>
      <c r="H442" s="14"/>
    </row>
    <row r="443">
      <c r="G443" s="14"/>
      <c r="H443" s="14"/>
    </row>
    <row r="444">
      <c r="G444" s="14"/>
      <c r="H444" s="14"/>
    </row>
    <row r="445">
      <c r="G445" s="14"/>
      <c r="H445" s="14"/>
    </row>
    <row r="446">
      <c r="G446" s="14"/>
      <c r="H446" s="14"/>
    </row>
    <row r="447">
      <c r="G447" s="14"/>
      <c r="H447" s="14"/>
    </row>
    <row r="448">
      <c r="G448" s="14"/>
      <c r="H448" s="14"/>
    </row>
    <row r="449">
      <c r="G449" s="14"/>
      <c r="H449" s="14"/>
    </row>
    <row r="450">
      <c r="G450" s="14"/>
      <c r="H450" s="14"/>
    </row>
    <row r="451">
      <c r="G451" s="14"/>
      <c r="H451" s="14"/>
    </row>
    <row r="452">
      <c r="G452" s="14"/>
      <c r="H452" s="14"/>
    </row>
    <row r="453">
      <c r="G453" s="14"/>
      <c r="H453" s="14"/>
    </row>
    <row r="454">
      <c r="G454" s="14"/>
      <c r="H454" s="14"/>
    </row>
    <row r="455">
      <c r="G455" s="14"/>
      <c r="H455" s="14"/>
    </row>
    <row r="456">
      <c r="G456" s="14"/>
      <c r="H456" s="14"/>
    </row>
    <row r="457">
      <c r="G457" s="14"/>
      <c r="H457" s="14"/>
    </row>
    <row r="458">
      <c r="G458" s="14"/>
      <c r="H458" s="14"/>
    </row>
    <row r="459">
      <c r="G459" s="14"/>
      <c r="H459" s="14"/>
    </row>
    <row r="460">
      <c r="G460" s="14"/>
      <c r="H460" s="14"/>
    </row>
    <row r="461">
      <c r="G461" s="14"/>
      <c r="H461" s="14"/>
    </row>
    <row r="462">
      <c r="G462" s="14"/>
      <c r="H462" s="14"/>
    </row>
    <row r="463">
      <c r="G463" s="14"/>
      <c r="H463" s="14"/>
    </row>
    <row r="464">
      <c r="G464" s="14"/>
      <c r="H464" s="14"/>
    </row>
    <row r="465">
      <c r="G465" s="14"/>
      <c r="H465" s="14"/>
    </row>
    <row r="466">
      <c r="G466" s="14"/>
      <c r="H466" s="14"/>
    </row>
    <row r="467">
      <c r="G467" s="14"/>
      <c r="H467" s="14"/>
    </row>
    <row r="468">
      <c r="G468" s="14"/>
      <c r="H468" s="14"/>
    </row>
    <row r="469">
      <c r="G469" s="14"/>
      <c r="H469" s="14"/>
    </row>
    <row r="470">
      <c r="G470" s="14"/>
      <c r="H470" s="14"/>
    </row>
    <row r="471">
      <c r="G471" s="14"/>
      <c r="H471" s="14"/>
    </row>
    <row r="472">
      <c r="G472" s="14"/>
      <c r="H472" s="14"/>
    </row>
    <row r="473">
      <c r="G473" s="14"/>
      <c r="H473" s="14"/>
    </row>
    <row r="474">
      <c r="G474" s="14"/>
      <c r="H474" s="14"/>
    </row>
    <row r="475">
      <c r="G475" s="14"/>
      <c r="H475" s="14"/>
    </row>
    <row r="476">
      <c r="G476" s="14"/>
      <c r="H476" s="14"/>
    </row>
    <row r="477">
      <c r="G477" s="14"/>
      <c r="H477" s="14"/>
    </row>
    <row r="478">
      <c r="G478" s="14"/>
      <c r="H478" s="14"/>
    </row>
    <row r="479">
      <c r="G479" s="14"/>
      <c r="H479" s="14"/>
    </row>
    <row r="480">
      <c r="G480" s="14"/>
      <c r="H480" s="14"/>
    </row>
    <row r="481">
      <c r="G481" s="14"/>
      <c r="H481" s="14"/>
    </row>
    <row r="482">
      <c r="G482" s="14"/>
      <c r="H482" s="14"/>
    </row>
    <row r="483">
      <c r="G483" s="14"/>
      <c r="H483" s="14"/>
    </row>
    <row r="484">
      <c r="G484" s="14"/>
      <c r="H484" s="14"/>
    </row>
    <row r="485">
      <c r="G485" s="14"/>
      <c r="H485" s="14"/>
    </row>
    <row r="486">
      <c r="G486" s="14"/>
      <c r="H486" s="14"/>
    </row>
    <row r="487">
      <c r="G487" s="14"/>
      <c r="H487" s="14"/>
    </row>
    <row r="488">
      <c r="G488" s="14"/>
      <c r="H488" s="14"/>
    </row>
    <row r="489">
      <c r="G489" s="14"/>
      <c r="H489" s="14"/>
    </row>
    <row r="490">
      <c r="G490" s="14"/>
      <c r="H490" s="14"/>
    </row>
    <row r="491">
      <c r="G491" s="14"/>
      <c r="H491" s="14"/>
    </row>
    <row r="492">
      <c r="G492" s="14"/>
      <c r="H492" s="14"/>
    </row>
    <row r="493">
      <c r="G493" s="14"/>
      <c r="H493" s="14"/>
    </row>
    <row r="494">
      <c r="G494" s="14"/>
      <c r="H494" s="14"/>
    </row>
    <row r="495">
      <c r="G495" s="14"/>
      <c r="H495" s="14"/>
    </row>
    <row r="496">
      <c r="G496" s="14"/>
      <c r="H496" s="14"/>
    </row>
    <row r="497">
      <c r="G497" s="14"/>
      <c r="H497" s="14"/>
    </row>
    <row r="498">
      <c r="G498" s="14"/>
      <c r="H498" s="14"/>
    </row>
    <row r="499">
      <c r="G499" s="14"/>
      <c r="H499" s="14"/>
    </row>
    <row r="500">
      <c r="G500" s="14"/>
      <c r="H500" s="14"/>
    </row>
    <row r="501">
      <c r="G501" s="14"/>
      <c r="H501" s="14"/>
    </row>
    <row r="502">
      <c r="G502" s="14"/>
      <c r="H502" s="14"/>
    </row>
    <row r="503">
      <c r="G503" s="14"/>
      <c r="H503" s="14"/>
    </row>
    <row r="504">
      <c r="G504" s="14"/>
      <c r="H504" s="14"/>
    </row>
    <row r="505">
      <c r="G505" s="14"/>
      <c r="H505" s="14"/>
    </row>
    <row r="506">
      <c r="G506" s="14"/>
      <c r="H506" s="14"/>
    </row>
    <row r="507">
      <c r="G507" s="14"/>
      <c r="H507" s="14"/>
    </row>
    <row r="508">
      <c r="G508" s="14"/>
      <c r="H508" s="14"/>
    </row>
    <row r="509">
      <c r="G509" s="14"/>
      <c r="H509" s="14"/>
    </row>
    <row r="510">
      <c r="G510" s="14"/>
      <c r="H510" s="14"/>
    </row>
    <row r="511">
      <c r="G511" s="14"/>
      <c r="H511" s="14"/>
    </row>
    <row r="512">
      <c r="G512" s="14"/>
      <c r="H512" s="14"/>
    </row>
    <row r="513">
      <c r="G513" s="14"/>
      <c r="H513" s="14"/>
    </row>
    <row r="514">
      <c r="G514" s="14"/>
      <c r="H514" s="14"/>
    </row>
    <row r="515">
      <c r="G515" s="14"/>
      <c r="H515" s="14"/>
    </row>
    <row r="516">
      <c r="G516" s="14"/>
      <c r="H516" s="14"/>
    </row>
    <row r="517">
      <c r="G517" s="14"/>
      <c r="H517" s="14"/>
    </row>
    <row r="518">
      <c r="G518" s="14"/>
      <c r="H518" s="14"/>
    </row>
    <row r="519">
      <c r="G519" s="14"/>
      <c r="H519" s="14"/>
    </row>
    <row r="520">
      <c r="G520" s="14"/>
      <c r="H520" s="14"/>
    </row>
    <row r="521">
      <c r="G521" s="14"/>
      <c r="H521" s="14"/>
    </row>
    <row r="522">
      <c r="G522" s="14"/>
      <c r="H522" s="14"/>
    </row>
    <row r="523">
      <c r="G523" s="14"/>
      <c r="H523" s="14"/>
    </row>
    <row r="524">
      <c r="G524" s="14"/>
      <c r="H524" s="14"/>
    </row>
    <row r="525">
      <c r="G525" s="14"/>
      <c r="H525" s="14"/>
    </row>
    <row r="526">
      <c r="G526" s="14"/>
      <c r="H526" s="14"/>
    </row>
    <row r="527">
      <c r="G527" s="14"/>
      <c r="H527" s="14"/>
    </row>
    <row r="528">
      <c r="G528" s="14"/>
      <c r="H528" s="14"/>
    </row>
    <row r="529">
      <c r="G529" s="14"/>
      <c r="H529" s="14"/>
    </row>
    <row r="530">
      <c r="G530" s="14"/>
      <c r="H530" s="14"/>
    </row>
    <row r="531">
      <c r="G531" s="14"/>
      <c r="H531" s="14"/>
    </row>
    <row r="532">
      <c r="G532" s="14"/>
      <c r="H532" s="14"/>
    </row>
    <row r="533">
      <c r="G533" s="14"/>
      <c r="H533" s="14"/>
    </row>
    <row r="534">
      <c r="G534" s="14"/>
      <c r="H534" s="14"/>
    </row>
    <row r="535">
      <c r="G535" s="14"/>
      <c r="H535" s="14"/>
    </row>
    <row r="536">
      <c r="G536" s="14"/>
      <c r="H536" s="14"/>
    </row>
    <row r="537">
      <c r="G537" s="14"/>
      <c r="H537" s="14"/>
    </row>
    <row r="538">
      <c r="G538" s="14"/>
      <c r="H538" s="14"/>
    </row>
    <row r="539">
      <c r="G539" s="14"/>
      <c r="H539" s="14"/>
    </row>
    <row r="540">
      <c r="G540" s="14"/>
      <c r="H540" s="14"/>
    </row>
    <row r="541">
      <c r="G541" s="14"/>
      <c r="H541" s="14"/>
    </row>
    <row r="542">
      <c r="G542" s="14"/>
      <c r="H542" s="14"/>
    </row>
    <row r="543">
      <c r="G543" s="14"/>
      <c r="H543" s="14"/>
    </row>
    <row r="544">
      <c r="G544" s="14"/>
      <c r="H544" s="14"/>
    </row>
    <row r="545">
      <c r="G545" s="14"/>
      <c r="H545" s="14"/>
    </row>
    <row r="546">
      <c r="G546" s="14"/>
      <c r="H546" s="14"/>
    </row>
    <row r="547">
      <c r="G547" s="14"/>
      <c r="H547" s="14"/>
    </row>
    <row r="548">
      <c r="G548" s="14"/>
      <c r="H548" s="14"/>
    </row>
    <row r="549">
      <c r="G549" s="14"/>
      <c r="H549" s="14"/>
    </row>
    <row r="550">
      <c r="G550" s="14"/>
      <c r="H550" s="14"/>
    </row>
    <row r="551">
      <c r="G551" s="14"/>
      <c r="H551" s="14"/>
    </row>
    <row r="552">
      <c r="G552" s="14"/>
      <c r="H552" s="14"/>
    </row>
    <row r="553">
      <c r="G553" s="14"/>
      <c r="H553" s="14"/>
    </row>
    <row r="554">
      <c r="G554" s="14"/>
      <c r="H554" s="14"/>
    </row>
    <row r="555">
      <c r="G555" s="14"/>
      <c r="H555" s="14"/>
    </row>
    <row r="556">
      <c r="G556" s="14"/>
      <c r="H556" s="14"/>
    </row>
    <row r="557">
      <c r="G557" s="14"/>
      <c r="H557" s="14"/>
    </row>
    <row r="558">
      <c r="G558" s="14"/>
      <c r="H558" s="14"/>
    </row>
    <row r="559">
      <c r="G559" s="14"/>
      <c r="H559" s="14"/>
    </row>
    <row r="560">
      <c r="G560" s="14"/>
      <c r="H560" s="14"/>
    </row>
    <row r="561">
      <c r="G561" s="14"/>
      <c r="H561" s="14"/>
    </row>
    <row r="562">
      <c r="G562" s="14"/>
      <c r="H562" s="14"/>
    </row>
    <row r="563">
      <c r="G563" s="14"/>
      <c r="H563" s="14"/>
    </row>
    <row r="564">
      <c r="G564" s="14"/>
      <c r="H564" s="14"/>
    </row>
    <row r="565">
      <c r="G565" s="14"/>
      <c r="H565" s="14"/>
    </row>
    <row r="566">
      <c r="G566" s="14"/>
      <c r="H566" s="14"/>
    </row>
    <row r="567">
      <c r="G567" s="14"/>
      <c r="H567" s="14"/>
    </row>
    <row r="568">
      <c r="G568" s="14"/>
      <c r="H568" s="14"/>
    </row>
    <row r="569">
      <c r="G569" s="14"/>
      <c r="H569" s="14"/>
    </row>
    <row r="570">
      <c r="G570" s="14"/>
      <c r="H570" s="14"/>
    </row>
    <row r="571">
      <c r="G571" s="14"/>
      <c r="H571" s="14"/>
    </row>
    <row r="572">
      <c r="G572" s="14"/>
      <c r="H572" s="14"/>
    </row>
    <row r="573">
      <c r="G573" s="14"/>
      <c r="H573" s="14"/>
    </row>
    <row r="574">
      <c r="G574" s="14"/>
      <c r="H574" s="14"/>
    </row>
    <row r="575">
      <c r="G575" s="14"/>
      <c r="H575" s="14"/>
    </row>
    <row r="576">
      <c r="G576" s="14"/>
      <c r="H576" s="14"/>
    </row>
    <row r="577">
      <c r="G577" s="14"/>
      <c r="H577" s="14"/>
    </row>
    <row r="578">
      <c r="G578" s="14"/>
      <c r="H578" s="14"/>
    </row>
    <row r="579">
      <c r="G579" s="14"/>
      <c r="H579" s="14"/>
    </row>
    <row r="580">
      <c r="G580" s="14"/>
      <c r="H580" s="14"/>
    </row>
    <row r="581">
      <c r="G581" s="14"/>
      <c r="H581" s="14"/>
    </row>
    <row r="582">
      <c r="G582" s="14"/>
      <c r="H582" s="14"/>
    </row>
    <row r="583">
      <c r="G583" s="14"/>
      <c r="H583" s="14"/>
    </row>
    <row r="584">
      <c r="G584" s="14"/>
      <c r="H584" s="14"/>
    </row>
    <row r="585">
      <c r="G585" s="14"/>
      <c r="H585" s="14"/>
    </row>
    <row r="586">
      <c r="G586" s="14"/>
      <c r="H586" s="14"/>
    </row>
    <row r="587">
      <c r="G587" s="14"/>
      <c r="H587" s="14"/>
    </row>
    <row r="588">
      <c r="G588" s="14"/>
      <c r="H588" s="14"/>
    </row>
    <row r="589">
      <c r="G589" s="14"/>
      <c r="H589" s="14"/>
    </row>
    <row r="590">
      <c r="G590" s="14"/>
      <c r="H590" s="14"/>
    </row>
    <row r="591">
      <c r="G591" s="14"/>
      <c r="H591" s="14"/>
    </row>
    <row r="592">
      <c r="G592" s="14"/>
      <c r="H592" s="14"/>
    </row>
    <row r="593">
      <c r="G593" s="14"/>
      <c r="H593" s="14"/>
    </row>
    <row r="594">
      <c r="G594" s="14"/>
      <c r="H594" s="14"/>
    </row>
    <row r="595">
      <c r="G595" s="14"/>
      <c r="H595" s="14"/>
    </row>
    <row r="596">
      <c r="G596" s="14"/>
      <c r="H596" s="14"/>
    </row>
    <row r="597">
      <c r="G597" s="14"/>
      <c r="H597" s="14"/>
    </row>
    <row r="598">
      <c r="G598" s="14"/>
      <c r="H598" s="14"/>
    </row>
    <row r="599">
      <c r="G599" s="14"/>
      <c r="H599" s="14"/>
    </row>
    <row r="600">
      <c r="G600" s="14"/>
      <c r="H600" s="14"/>
    </row>
    <row r="601">
      <c r="G601" s="14"/>
      <c r="H601" s="14"/>
    </row>
    <row r="602">
      <c r="G602" s="14"/>
      <c r="H602" s="14"/>
    </row>
    <row r="603">
      <c r="G603" s="14"/>
      <c r="H603" s="14"/>
    </row>
    <row r="604">
      <c r="G604" s="14"/>
      <c r="H604" s="14"/>
    </row>
    <row r="605">
      <c r="G605" s="14"/>
      <c r="H605" s="14"/>
    </row>
    <row r="606">
      <c r="G606" s="14"/>
      <c r="H606" s="14"/>
    </row>
    <row r="607">
      <c r="G607" s="14"/>
      <c r="H607" s="14"/>
    </row>
    <row r="608">
      <c r="G608" s="14"/>
      <c r="H608" s="14"/>
    </row>
    <row r="609">
      <c r="G609" s="14"/>
      <c r="H609" s="14"/>
    </row>
    <row r="610">
      <c r="G610" s="14"/>
      <c r="H610" s="14"/>
    </row>
    <row r="611">
      <c r="G611" s="14"/>
      <c r="H611" s="14"/>
    </row>
    <row r="612">
      <c r="G612" s="14"/>
      <c r="H612" s="14"/>
    </row>
    <row r="613">
      <c r="G613" s="14"/>
      <c r="H613" s="14"/>
    </row>
    <row r="614">
      <c r="G614" s="14"/>
      <c r="H614" s="14"/>
    </row>
    <row r="615">
      <c r="G615" s="14"/>
      <c r="H615" s="14"/>
    </row>
    <row r="616">
      <c r="G616" s="14"/>
      <c r="H616" s="14"/>
    </row>
    <row r="617">
      <c r="G617" s="14"/>
      <c r="H617" s="14"/>
    </row>
    <row r="618">
      <c r="G618" s="14"/>
      <c r="H618" s="14"/>
    </row>
    <row r="619">
      <c r="G619" s="14"/>
      <c r="H619" s="14"/>
    </row>
    <row r="620">
      <c r="G620" s="14"/>
      <c r="H620" s="14"/>
    </row>
    <row r="621">
      <c r="G621" s="14"/>
      <c r="H621" s="14"/>
    </row>
    <row r="622">
      <c r="G622" s="14"/>
      <c r="H622" s="14"/>
    </row>
    <row r="623">
      <c r="G623" s="14"/>
      <c r="H623" s="14"/>
    </row>
    <row r="624">
      <c r="G624" s="14"/>
      <c r="H624" s="14"/>
    </row>
    <row r="625">
      <c r="G625" s="14"/>
      <c r="H625" s="14"/>
    </row>
    <row r="626">
      <c r="G626" s="14"/>
      <c r="H626" s="14"/>
    </row>
    <row r="627">
      <c r="G627" s="14"/>
      <c r="H627" s="14"/>
    </row>
    <row r="628">
      <c r="G628" s="14"/>
      <c r="H628" s="14"/>
    </row>
    <row r="629">
      <c r="G629" s="14"/>
      <c r="H629" s="14"/>
    </row>
    <row r="630">
      <c r="G630" s="14"/>
      <c r="H630" s="14"/>
    </row>
    <row r="631">
      <c r="G631" s="14"/>
      <c r="H631" s="14"/>
    </row>
    <row r="632">
      <c r="G632" s="14"/>
      <c r="H632" s="14"/>
    </row>
    <row r="633">
      <c r="G633" s="14"/>
      <c r="H633" s="14"/>
    </row>
    <row r="634">
      <c r="G634" s="14"/>
      <c r="H634" s="14"/>
    </row>
    <row r="635">
      <c r="G635" s="14"/>
      <c r="H635" s="14"/>
    </row>
    <row r="636">
      <c r="G636" s="14"/>
      <c r="H636" s="14"/>
    </row>
    <row r="637">
      <c r="G637" s="14"/>
      <c r="H637" s="14"/>
    </row>
    <row r="638">
      <c r="G638" s="14"/>
      <c r="H638" s="14"/>
    </row>
    <row r="639">
      <c r="G639" s="14"/>
      <c r="H639" s="14"/>
    </row>
    <row r="640">
      <c r="G640" s="14"/>
      <c r="H640" s="14"/>
    </row>
    <row r="641">
      <c r="G641" s="14"/>
      <c r="H641" s="14"/>
    </row>
    <row r="642">
      <c r="G642" s="14"/>
      <c r="H642" s="14"/>
    </row>
    <row r="643">
      <c r="G643" s="14"/>
      <c r="H643" s="14"/>
    </row>
    <row r="644">
      <c r="G644" s="14"/>
      <c r="H644" s="14"/>
    </row>
    <row r="645">
      <c r="G645" s="14"/>
      <c r="H645" s="14"/>
    </row>
    <row r="646">
      <c r="G646" s="14"/>
      <c r="H646" s="14"/>
    </row>
    <row r="647">
      <c r="G647" s="14"/>
      <c r="H647" s="14"/>
    </row>
    <row r="648">
      <c r="G648" s="14"/>
      <c r="H648" s="14"/>
    </row>
    <row r="649">
      <c r="G649" s="14"/>
      <c r="H649" s="14"/>
    </row>
    <row r="650">
      <c r="G650" s="14"/>
      <c r="H650" s="14"/>
    </row>
    <row r="651">
      <c r="G651" s="14"/>
      <c r="H651" s="14"/>
    </row>
    <row r="652">
      <c r="G652" s="14"/>
      <c r="H652" s="14"/>
    </row>
    <row r="653">
      <c r="G653" s="14"/>
      <c r="H653" s="14"/>
    </row>
    <row r="654">
      <c r="G654" s="14"/>
      <c r="H654" s="14"/>
    </row>
    <row r="655">
      <c r="G655" s="14"/>
      <c r="H655" s="14"/>
    </row>
    <row r="656">
      <c r="G656" s="14"/>
      <c r="H656" s="14"/>
    </row>
    <row r="657">
      <c r="G657" s="14"/>
      <c r="H657" s="14"/>
    </row>
    <row r="658">
      <c r="G658" s="14"/>
      <c r="H658" s="14"/>
    </row>
    <row r="659">
      <c r="G659" s="14"/>
      <c r="H659" s="14"/>
    </row>
    <row r="660">
      <c r="G660" s="14"/>
      <c r="H660" s="14"/>
    </row>
    <row r="661">
      <c r="G661" s="14"/>
      <c r="H661" s="14"/>
    </row>
    <row r="662">
      <c r="G662" s="14"/>
      <c r="H662" s="14"/>
    </row>
    <row r="663">
      <c r="G663" s="14"/>
      <c r="H663" s="14"/>
    </row>
    <row r="664">
      <c r="G664" s="14"/>
      <c r="H664" s="14"/>
    </row>
    <row r="665">
      <c r="G665" s="14"/>
      <c r="H665" s="14"/>
    </row>
    <row r="666">
      <c r="G666" s="14"/>
      <c r="H666" s="14"/>
    </row>
    <row r="667">
      <c r="G667" s="14"/>
      <c r="H667" s="14"/>
    </row>
    <row r="668">
      <c r="G668" s="14"/>
      <c r="H668" s="14"/>
    </row>
    <row r="669">
      <c r="G669" s="14"/>
      <c r="H669" s="14"/>
    </row>
    <row r="670">
      <c r="G670" s="14"/>
      <c r="H670" s="14"/>
    </row>
    <row r="671">
      <c r="G671" s="14"/>
      <c r="H671" s="14"/>
    </row>
    <row r="672">
      <c r="G672" s="14"/>
      <c r="H672" s="14"/>
    </row>
    <row r="673">
      <c r="G673" s="14"/>
      <c r="H673" s="14"/>
    </row>
    <row r="674">
      <c r="G674" s="14"/>
      <c r="H674" s="14"/>
    </row>
    <row r="675">
      <c r="G675" s="14"/>
      <c r="H675" s="14"/>
    </row>
    <row r="676">
      <c r="G676" s="14"/>
      <c r="H676" s="14"/>
    </row>
    <row r="677">
      <c r="G677" s="14"/>
      <c r="H677" s="14"/>
    </row>
    <row r="678">
      <c r="G678" s="14"/>
      <c r="H678" s="14"/>
    </row>
    <row r="679">
      <c r="G679" s="14"/>
      <c r="H679" s="14"/>
    </row>
    <row r="680">
      <c r="G680" s="14"/>
      <c r="H680" s="14"/>
    </row>
    <row r="681">
      <c r="G681" s="14"/>
      <c r="H681" s="14"/>
    </row>
    <row r="682">
      <c r="G682" s="14"/>
      <c r="H682" s="14"/>
    </row>
    <row r="683">
      <c r="G683" s="14"/>
      <c r="H683" s="14"/>
    </row>
    <row r="684">
      <c r="G684" s="14"/>
      <c r="H684" s="14"/>
    </row>
    <row r="685">
      <c r="G685" s="14"/>
      <c r="H685" s="14"/>
    </row>
    <row r="686">
      <c r="G686" s="14"/>
      <c r="H686" s="14"/>
    </row>
    <row r="687">
      <c r="G687" s="14"/>
      <c r="H687" s="14"/>
    </row>
    <row r="688">
      <c r="G688" s="14"/>
      <c r="H688" s="14"/>
    </row>
    <row r="689">
      <c r="G689" s="14"/>
      <c r="H689" s="14"/>
    </row>
    <row r="690">
      <c r="G690" s="14"/>
      <c r="H690" s="14"/>
    </row>
    <row r="691">
      <c r="G691" s="14"/>
      <c r="H691" s="14"/>
    </row>
    <row r="692">
      <c r="G692" s="14"/>
      <c r="H692" s="14"/>
    </row>
    <row r="693">
      <c r="G693" s="14"/>
      <c r="H693" s="14"/>
    </row>
    <row r="694">
      <c r="G694" s="14"/>
      <c r="H694" s="14"/>
    </row>
    <row r="695">
      <c r="G695" s="14"/>
      <c r="H695" s="14"/>
    </row>
    <row r="696">
      <c r="G696" s="14"/>
      <c r="H696" s="14"/>
    </row>
    <row r="697">
      <c r="G697" s="14"/>
      <c r="H697" s="14"/>
    </row>
    <row r="698">
      <c r="G698" s="14"/>
      <c r="H698" s="14"/>
    </row>
    <row r="699">
      <c r="G699" s="14"/>
      <c r="H699" s="14"/>
    </row>
    <row r="700">
      <c r="G700" s="14"/>
      <c r="H700" s="14"/>
    </row>
    <row r="701">
      <c r="G701" s="14"/>
      <c r="H701" s="14"/>
    </row>
    <row r="702">
      <c r="G702" s="14"/>
      <c r="H702" s="14"/>
    </row>
    <row r="703">
      <c r="G703" s="14"/>
      <c r="H703" s="14"/>
    </row>
    <row r="704">
      <c r="G704" s="14"/>
      <c r="H704" s="14"/>
    </row>
    <row r="705">
      <c r="G705" s="14"/>
      <c r="H705" s="14"/>
    </row>
    <row r="706">
      <c r="G706" s="14"/>
      <c r="H706" s="14"/>
    </row>
    <row r="707">
      <c r="G707" s="14"/>
      <c r="H707" s="14"/>
    </row>
    <row r="708">
      <c r="G708" s="14"/>
      <c r="H708" s="14"/>
    </row>
    <row r="709">
      <c r="G709" s="14"/>
      <c r="H709" s="14"/>
    </row>
    <row r="710">
      <c r="G710" s="14"/>
      <c r="H710" s="14"/>
    </row>
    <row r="711">
      <c r="G711" s="14"/>
      <c r="H711" s="14"/>
    </row>
    <row r="712">
      <c r="G712" s="14"/>
      <c r="H712" s="14"/>
    </row>
    <row r="713">
      <c r="G713" s="14"/>
      <c r="H713" s="14"/>
    </row>
    <row r="714">
      <c r="G714" s="14"/>
      <c r="H714" s="14"/>
    </row>
    <row r="715">
      <c r="G715" s="14"/>
      <c r="H715" s="14"/>
    </row>
    <row r="716">
      <c r="G716" s="14"/>
      <c r="H716" s="14"/>
    </row>
    <row r="717">
      <c r="G717" s="14"/>
      <c r="H717" s="14"/>
    </row>
    <row r="718">
      <c r="G718" s="14"/>
      <c r="H718" s="14"/>
    </row>
    <row r="719">
      <c r="G719" s="14"/>
      <c r="H719" s="14"/>
    </row>
    <row r="720">
      <c r="G720" s="14"/>
      <c r="H720" s="14"/>
    </row>
    <row r="721">
      <c r="G721" s="14"/>
      <c r="H721" s="14"/>
    </row>
    <row r="722">
      <c r="G722" s="14"/>
      <c r="H722" s="14"/>
    </row>
    <row r="723">
      <c r="G723" s="14"/>
      <c r="H723" s="14"/>
    </row>
    <row r="724">
      <c r="G724" s="14"/>
      <c r="H724" s="14"/>
    </row>
    <row r="725">
      <c r="G725" s="14"/>
      <c r="H725" s="14"/>
    </row>
    <row r="726">
      <c r="G726" s="14"/>
      <c r="H726" s="14"/>
    </row>
    <row r="727">
      <c r="G727" s="14"/>
      <c r="H727" s="14"/>
    </row>
    <row r="728">
      <c r="G728" s="14"/>
      <c r="H728" s="14"/>
    </row>
    <row r="729">
      <c r="G729" s="14"/>
      <c r="H729" s="14"/>
    </row>
    <row r="730">
      <c r="G730" s="14"/>
      <c r="H730" s="14"/>
    </row>
    <row r="731">
      <c r="G731" s="14"/>
      <c r="H731" s="14"/>
    </row>
    <row r="732">
      <c r="G732" s="14"/>
      <c r="H732" s="14"/>
    </row>
    <row r="733">
      <c r="G733" s="14"/>
      <c r="H733" s="14"/>
    </row>
    <row r="734">
      <c r="G734" s="14"/>
      <c r="H734" s="14"/>
    </row>
    <row r="735">
      <c r="G735" s="14"/>
      <c r="H735" s="14"/>
    </row>
    <row r="736">
      <c r="G736" s="14"/>
      <c r="H736" s="14"/>
    </row>
    <row r="737">
      <c r="G737" s="14"/>
      <c r="H737" s="14"/>
    </row>
    <row r="738">
      <c r="G738" s="14"/>
      <c r="H738" s="14"/>
    </row>
    <row r="739">
      <c r="G739" s="14"/>
      <c r="H739" s="14"/>
    </row>
    <row r="740">
      <c r="G740" s="14"/>
      <c r="H740" s="14"/>
    </row>
    <row r="741">
      <c r="G741" s="14"/>
      <c r="H741" s="14"/>
    </row>
    <row r="742">
      <c r="G742" s="14"/>
      <c r="H742" s="14"/>
    </row>
    <row r="743">
      <c r="G743" s="14"/>
      <c r="H743" s="14"/>
    </row>
    <row r="744">
      <c r="G744" s="14"/>
      <c r="H744" s="14"/>
    </row>
    <row r="745">
      <c r="G745" s="14"/>
      <c r="H745" s="14"/>
    </row>
    <row r="746">
      <c r="G746" s="14"/>
      <c r="H746" s="14"/>
    </row>
    <row r="747">
      <c r="G747" s="14"/>
      <c r="H747" s="14"/>
    </row>
    <row r="748">
      <c r="G748" s="14"/>
      <c r="H748" s="14"/>
    </row>
    <row r="749">
      <c r="G749" s="14"/>
      <c r="H749" s="14"/>
    </row>
    <row r="750">
      <c r="G750" s="14"/>
      <c r="H750" s="14"/>
    </row>
    <row r="751">
      <c r="G751" s="14"/>
      <c r="H751" s="14"/>
    </row>
    <row r="752">
      <c r="G752" s="14"/>
      <c r="H752" s="14"/>
    </row>
    <row r="753">
      <c r="G753" s="14"/>
      <c r="H753" s="14"/>
    </row>
    <row r="754">
      <c r="G754" s="14"/>
      <c r="H754" s="14"/>
    </row>
    <row r="755">
      <c r="G755" s="14"/>
      <c r="H755" s="14"/>
    </row>
    <row r="756">
      <c r="G756" s="14"/>
      <c r="H756" s="14"/>
    </row>
    <row r="757">
      <c r="G757" s="14"/>
      <c r="H757" s="14"/>
    </row>
    <row r="758">
      <c r="G758" s="14"/>
      <c r="H758" s="14"/>
    </row>
    <row r="759">
      <c r="G759" s="14"/>
      <c r="H759" s="14"/>
    </row>
    <row r="760">
      <c r="G760" s="14"/>
      <c r="H760" s="14"/>
    </row>
    <row r="761">
      <c r="G761" s="14"/>
      <c r="H761" s="14"/>
    </row>
    <row r="762">
      <c r="G762" s="14"/>
      <c r="H762" s="14"/>
    </row>
    <row r="763">
      <c r="G763" s="14"/>
      <c r="H763" s="14"/>
    </row>
    <row r="764">
      <c r="G764" s="14"/>
      <c r="H764" s="14"/>
    </row>
    <row r="765">
      <c r="G765" s="14"/>
      <c r="H765" s="14"/>
    </row>
    <row r="766">
      <c r="G766" s="14"/>
      <c r="H766" s="14"/>
    </row>
    <row r="767">
      <c r="G767" s="14"/>
      <c r="H767" s="14"/>
    </row>
    <row r="768">
      <c r="G768" s="14"/>
      <c r="H768" s="14"/>
    </row>
    <row r="769">
      <c r="G769" s="14"/>
      <c r="H769" s="14"/>
    </row>
    <row r="770">
      <c r="G770" s="14"/>
      <c r="H770" s="14"/>
    </row>
    <row r="771">
      <c r="G771" s="14"/>
      <c r="H771" s="14"/>
    </row>
    <row r="772">
      <c r="G772" s="14"/>
      <c r="H772" s="14"/>
    </row>
    <row r="773">
      <c r="G773" s="14"/>
      <c r="H773" s="14"/>
    </row>
    <row r="774">
      <c r="G774" s="14"/>
      <c r="H774" s="14"/>
    </row>
    <row r="775">
      <c r="G775" s="14"/>
      <c r="H775" s="14"/>
    </row>
    <row r="776">
      <c r="G776" s="14"/>
      <c r="H776" s="14"/>
    </row>
    <row r="777">
      <c r="G777" s="14"/>
      <c r="H777" s="14"/>
    </row>
    <row r="778">
      <c r="G778" s="14"/>
      <c r="H778" s="14"/>
    </row>
    <row r="779">
      <c r="G779" s="14"/>
      <c r="H779" s="14"/>
    </row>
    <row r="780">
      <c r="G780" s="14"/>
      <c r="H780" s="14"/>
    </row>
    <row r="781">
      <c r="G781" s="14"/>
      <c r="H781" s="14"/>
    </row>
    <row r="782">
      <c r="G782" s="14"/>
      <c r="H782" s="14"/>
    </row>
    <row r="783">
      <c r="G783" s="14"/>
      <c r="H783" s="14"/>
    </row>
    <row r="784">
      <c r="G784" s="14"/>
      <c r="H784" s="14"/>
    </row>
    <row r="785">
      <c r="G785" s="14"/>
      <c r="H785" s="14"/>
    </row>
    <row r="786">
      <c r="G786" s="14"/>
      <c r="H786" s="14"/>
    </row>
    <row r="787">
      <c r="G787" s="14"/>
      <c r="H787" s="14"/>
    </row>
    <row r="788">
      <c r="G788" s="14"/>
      <c r="H788" s="14"/>
    </row>
    <row r="789">
      <c r="G789" s="14"/>
      <c r="H789" s="14"/>
    </row>
    <row r="790">
      <c r="G790" s="14"/>
      <c r="H790" s="14"/>
    </row>
    <row r="791">
      <c r="G791" s="14"/>
      <c r="H791" s="14"/>
    </row>
    <row r="792">
      <c r="G792" s="14"/>
      <c r="H792" s="14"/>
    </row>
    <row r="793">
      <c r="G793" s="14"/>
      <c r="H793" s="14"/>
    </row>
    <row r="794">
      <c r="G794" s="14"/>
      <c r="H794" s="14"/>
    </row>
    <row r="795">
      <c r="G795" s="14"/>
      <c r="H795" s="14"/>
    </row>
    <row r="796">
      <c r="G796" s="14"/>
      <c r="H796" s="14"/>
    </row>
    <row r="797">
      <c r="G797" s="14"/>
      <c r="H797" s="14"/>
    </row>
    <row r="798">
      <c r="G798" s="14"/>
      <c r="H798" s="14"/>
    </row>
    <row r="799">
      <c r="G799" s="14"/>
      <c r="H799" s="14"/>
    </row>
    <row r="800">
      <c r="G800" s="14"/>
      <c r="H800" s="14"/>
    </row>
    <row r="801">
      <c r="G801" s="14"/>
      <c r="H801" s="14"/>
    </row>
    <row r="802">
      <c r="G802" s="14"/>
      <c r="H802" s="14"/>
    </row>
    <row r="803">
      <c r="G803" s="14"/>
      <c r="H803" s="14"/>
    </row>
    <row r="804">
      <c r="G804" s="14"/>
      <c r="H804" s="14"/>
    </row>
    <row r="805">
      <c r="G805" s="14"/>
      <c r="H805" s="14"/>
    </row>
    <row r="806">
      <c r="G806" s="14"/>
      <c r="H806" s="14"/>
    </row>
    <row r="807">
      <c r="G807" s="14"/>
      <c r="H807" s="14"/>
    </row>
    <row r="808">
      <c r="G808" s="14"/>
      <c r="H808" s="14"/>
    </row>
    <row r="809">
      <c r="G809" s="14"/>
      <c r="H809" s="14"/>
    </row>
    <row r="810">
      <c r="G810" s="14"/>
      <c r="H810" s="14"/>
    </row>
    <row r="811">
      <c r="G811" s="14"/>
      <c r="H811" s="14"/>
    </row>
    <row r="812">
      <c r="G812" s="14"/>
      <c r="H812" s="14"/>
    </row>
    <row r="813">
      <c r="G813" s="14"/>
      <c r="H813" s="14"/>
    </row>
    <row r="814">
      <c r="G814" s="14"/>
      <c r="H814" s="14"/>
    </row>
    <row r="815">
      <c r="G815" s="14"/>
      <c r="H815" s="14"/>
    </row>
    <row r="816">
      <c r="G816" s="14"/>
      <c r="H816" s="14"/>
    </row>
    <row r="817">
      <c r="G817" s="14"/>
      <c r="H817" s="14"/>
    </row>
    <row r="818">
      <c r="G818" s="14"/>
      <c r="H818" s="14"/>
    </row>
    <row r="819">
      <c r="G819" s="14"/>
      <c r="H819" s="14"/>
    </row>
    <row r="820">
      <c r="G820" s="14"/>
      <c r="H820" s="14"/>
    </row>
    <row r="821">
      <c r="G821" s="14"/>
      <c r="H821" s="14"/>
    </row>
    <row r="822">
      <c r="G822" s="14"/>
      <c r="H822" s="14"/>
    </row>
    <row r="823">
      <c r="G823" s="14"/>
      <c r="H823" s="14"/>
    </row>
    <row r="824">
      <c r="G824" s="14"/>
      <c r="H824" s="14"/>
    </row>
    <row r="825">
      <c r="G825" s="14"/>
      <c r="H825" s="14"/>
    </row>
    <row r="826">
      <c r="G826" s="14"/>
      <c r="H826" s="14"/>
    </row>
    <row r="827">
      <c r="G827" s="14"/>
      <c r="H827" s="14"/>
    </row>
    <row r="828">
      <c r="G828" s="14"/>
      <c r="H828" s="14"/>
    </row>
    <row r="829">
      <c r="G829" s="14"/>
      <c r="H829" s="14"/>
    </row>
    <row r="830">
      <c r="G830" s="14"/>
      <c r="H830" s="14"/>
    </row>
    <row r="831">
      <c r="G831" s="14"/>
      <c r="H831" s="14"/>
    </row>
    <row r="832">
      <c r="G832" s="14"/>
      <c r="H832" s="14"/>
    </row>
    <row r="833">
      <c r="G833" s="14"/>
      <c r="H833" s="14"/>
    </row>
    <row r="834">
      <c r="G834" s="14"/>
      <c r="H834" s="14"/>
    </row>
    <row r="835">
      <c r="G835" s="14"/>
      <c r="H835" s="14"/>
    </row>
    <row r="836">
      <c r="G836" s="14"/>
      <c r="H836" s="14"/>
    </row>
    <row r="837">
      <c r="G837" s="14"/>
      <c r="H837" s="14"/>
    </row>
    <row r="838">
      <c r="G838" s="14"/>
      <c r="H838" s="14"/>
    </row>
    <row r="839">
      <c r="G839" s="14"/>
      <c r="H839" s="14"/>
    </row>
    <row r="840">
      <c r="G840" s="14"/>
      <c r="H840" s="14"/>
    </row>
    <row r="841">
      <c r="G841" s="14"/>
      <c r="H841" s="14"/>
    </row>
    <row r="842">
      <c r="G842" s="14"/>
      <c r="H842" s="14"/>
    </row>
    <row r="843">
      <c r="G843" s="14"/>
      <c r="H843" s="14"/>
    </row>
    <row r="844">
      <c r="G844" s="14"/>
      <c r="H844" s="14"/>
    </row>
    <row r="845">
      <c r="G845" s="14"/>
      <c r="H845" s="14"/>
    </row>
    <row r="846">
      <c r="G846" s="14"/>
      <c r="H846" s="14"/>
    </row>
    <row r="847">
      <c r="G847" s="14"/>
      <c r="H847" s="14"/>
    </row>
    <row r="848">
      <c r="G848" s="14"/>
      <c r="H848" s="14"/>
    </row>
    <row r="849">
      <c r="G849" s="14"/>
      <c r="H849" s="14"/>
    </row>
    <row r="850">
      <c r="G850" s="14"/>
      <c r="H850" s="14"/>
    </row>
    <row r="851">
      <c r="G851" s="14"/>
      <c r="H851" s="14"/>
    </row>
    <row r="852">
      <c r="G852" s="14"/>
      <c r="H852" s="14"/>
    </row>
    <row r="853">
      <c r="G853" s="14"/>
      <c r="H853" s="14"/>
    </row>
    <row r="854">
      <c r="G854" s="14"/>
      <c r="H854" s="14"/>
    </row>
    <row r="855">
      <c r="G855" s="14"/>
      <c r="H855" s="14"/>
    </row>
    <row r="856">
      <c r="G856" s="14"/>
      <c r="H856" s="14"/>
    </row>
    <row r="857">
      <c r="G857" s="14"/>
      <c r="H857" s="14"/>
    </row>
    <row r="858">
      <c r="G858" s="14"/>
      <c r="H858" s="14"/>
    </row>
    <row r="859">
      <c r="G859" s="14"/>
      <c r="H859" s="14"/>
    </row>
    <row r="860">
      <c r="G860" s="14"/>
      <c r="H860" s="14"/>
    </row>
    <row r="861">
      <c r="G861" s="14"/>
      <c r="H861" s="14"/>
    </row>
    <row r="862">
      <c r="G862" s="14"/>
      <c r="H862" s="14"/>
    </row>
    <row r="863">
      <c r="G863" s="14"/>
      <c r="H863" s="14"/>
    </row>
    <row r="864">
      <c r="G864" s="14"/>
      <c r="H864" s="14"/>
    </row>
    <row r="865">
      <c r="G865" s="14"/>
      <c r="H865" s="14"/>
    </row>
    <row r="866">
      <c r="G866" s="14"/>
      <c r="H866" s="14"/>
    </row>
    <row r="867">
      <c r="G867" s="14"/>
      <c r="H867" s="14"/>
    </row>
    <row r="868">
      <c r="G868" s="14"/>
      <c r="H868" s="14"/>
    </row>
    <row r="869">
      <c r="G869" s="14"/>
      <c r="H869" s="14"/>
    </row>
    <row r="870">
      <c r="G870" s="14"/>
      <c r="H870" s="14"/>
    </row>
    <row r="871">
      <c r="G871" s="14"/>
      <c r="H871" s="14"/>
    </row>
    <row r="872">
      <c r="G872" s="14"/>
      <c r="H872" s="14"/>
    </row>
    <row r="873">
      <c r="G873" s="14"/>
      <c r="H873" s="14"/>
    </row>
    <row r="874">
      <c r="G874" s="14"/>
      <c r="H874" s="14"/>
    </row>
    <row r="875">
      <c r="G875" s="14"/>
      <c r="H875" s="14"/>
    </row>
    <row r="876">
      <c r="G876" s="14"/>
      <c r="H876" s="14"/>
    </row>
    <row r="877">
      <c r="G877" s="14"/>
      <c r="H877" s="14"/>
    </row>
    <row r="878">
      <c r="G878" s="14"/>
      <c r="H878" s="14"/>
    </row>
    <row r="879">
      <c r="G879" s="14"/>
      <c r="H879" s="14"/>
    </row>
    <row r="880">
      <c r="G880" s="14"/>
      <c r="H880" s="14"/>
    </row>
    <row r="881">
      <c r="G881" s="14"/>
      <c r="H881" s="14"/>
    </row>
    <row r="882">
      <c r="G882" s="14"/>
      <c r="H882" s="14"/>
    </row>
    <row r="883">
      <c r="G883" s="14"/>
      <c r="H883" s="14"/>
    </row>
    <row r="884">
      <c r="G884" s="14"/>
      <c r="H884" s="14"/>
    </row>
    <row r="885">
      <c r="G885" s="14"/>
      <c r="H885" s="14"/>
    </row>
    <row r="886">
      <c r="G886" s="14"/>
      <c r="H886" s="14"/>
    </row>
    <row r="887">
      <c r="G887" s="14"/>
      <c r="H887" s="14"/>
    </row>
    <row r="888">
      <c r="G888" s="14"/>
      <c r="H888" s="14"/>
    </row>
    <row r="889">
      <c r="G889" s="14"/>
      <c r="H889" s="14"/>
    </row>
    <row r="890">
      <c r="G890" s="14"/>
      <c r="H890" s="14"/>
    </row>
    <row r="891">
      <c r="G891" s="14"/>
      <c r="H891" s="14"/>
    </row>
    <row r="892">
      <c r="G892" s="14"/>
      <c r="H892" s="14"/>
    </row>
    <row r="893">
      <c r="G893" s="14"/>
      <c r="H893" s="14"/>
    </row>
    <row r="894">
      <c r="G894" s="14"/>
      <c r="H894" s="14"/>
    </row>
    <row r="895">
      <c r="G895" s="14"/>
      <c r="H895" s="14"/>
    </row>
    <row r="896">
      <c r="G896" s="14"/>
      <c r="H896" s="14"/>
    </row>
    <row r="897">
      <c r="G897" s="14"/>
      <c r="H897" s="14"/>
    </row>
    <row r="898">
      <c r="G898" s="14"/>
      <c r="H898" s="14"/>
    </row>
    <row r="899">
      <c r="G899" s="14"/>
      <c r="H899" s="14"/>
    </row>
    <row r="900">
      <c r="G900" s="14"/>
      <c r="H900" s="14"/>
    </row>
    <row r="901">
      <c r="G901" s="14"/>
      <c r="H901" s="14"/>
    </row>
    <row r="902">
      <c r="G902" s="14"/>
      <c r="H902" s="14"/>
    </row>
    <row r="903">
      <c r="G903" s="14"/>
      <c r="H903" s="14"/>
    </row>
    <row r="904">
      <c r="G904" s="14"/>
      <c r="H904" s="14"/>
    </row>
    <row r="905">
      <c r="G905" s="14"/>
      <c r="H905" s="14"/>
    </row>
    <row r="906">
      <c r="G906" s="14"/>
      <c r="H906" s="14"/>
    </row>
    <row r="907">
      <c r="G907" s="14"/>
      <c r="H907" s="14"/>
    </row>
    <row r="908">
      <c r="G908" s="14"/>
      <c r="H908" s="14"/>
    </row>
    <row r="909">
      <c r="G909" s="14"/>
      <c r="H909" s="14"/>
    </row>
    <row r="910">
      <c r="G910" s="14"/>
      <c r="H910" s="14"/>
    </row>
    <row r="911">
      <c r="G911" s="14"/>
      <c r="H911" s="14"/>
    </row>
    <row r="912">
      <c r="G912" s="14"/>
      <c r="H912" s="14"/>
    </row>
    <row r="913">
      <c r="G913" s="14"/>
      <c r="H913" s="14"/>
    </row>
    <row r="914">
      <c r="G914" s="14"/>
      <c r="H914" s="14"/>
    </row>
    <row r="915">
      <c r="G915" s="14"/>
      <c r="H915" s="14"/>
    </row>
    <row r="916">
      <c r="G916" s="14"/>
      <c r="H916" s="14"/>
    </row>
    <row r="917">
      <c r="G917" s="14"/>
      <c r="H917" s="14"/>
    </row>
    <row r="918">
      <c r="G918" s="14"/>
      <c r="H918" s="14"/>
    </row>
    <row r="919">
      <c r="G919" s="14"/>
      <c r="H919" s="14"/>
    </row>
    <row r="920">
      <c r="G920" s="14"/>
      <c r="H920" s="14"/>
    </row>
    <row r="921">
      <c r="G921" s="14"/>
      <c r="H921" s="14"/>
    </row>
    <row r="922">
      <c r="G922" s="14"/>
      <c r="H922" s="14"/>
    </row>
    <row r="923">
      <c r="G923" s="14"/>
      <c r="H923" s="14"/>
    </row>
    <row r="924">
      <c r="G924" s="14"/>
      <c r="H924" s="14"/>
    </row>
    <row r="925">
      <c r="G925" s="14"/>
      <c r="H925" s="14"/>
    </row>
    <row r="926">
      <c r="G926" s="14"/>
      <c r="H926" s="14"/>
    </row>
    <row r="927">
      <c r="G927" s="14"/>
      <c r="H927" s="14"/>
    </row>
    <row r="928">
      <c r="G928" s="14"/>
      <c r="H928" s="14"/>
    </row>
    <row r="929">
      <c r="G929" s="14"/>
      <c r="H929" s="14"/>
    </row>
    <row r="930">
      <c r="G930" s="14"/>
      <c r="H930" s="14"/>
    </row>
    <row r="931">
      <c r="G931" s="14"/>
      <c r="H931" s="14"/>
    </row>
    <row r="932">
      <c r="G932" s="14"/>
      <c r="H932" s="14"/>
    </row>
    <row r="933">
      <c r="G933" s="14"/>
      <c r="H933" s="14"/>
    </row>
    <row r="934">
      <c r="G934" s="14"/>
      <c r="H934" s="14"/>
    </row>
    <row r="935">
      <c r="G935" s="14"/>
      <c r="H935" s="14"/>
    </row>
    <row r="936">
      <c r="G936" s="14"/>
      <c r="H936" s="14"/>
    </row>
    <row r="937">
      <c r="G937" s="14"/>
      <c r="H937" s="14"/>
    </row>
    <row r="938">
      <c r="G938" s="14"/>
      <c r="H938" s="14"/>
    </row>
    <row r="939">
      <c r="G939" s="14"/>
      <c r="H939" s="14"/>
    </row>
    <row r="940">
      <c r="G940" s="14"/>
      <c r="H940" s="14"/>
    </row>
    <row r="941">
      <c r="G941" s="14"/>
      <c r="H941" s="14"/>
    </row>
    <row r="942">
      <c r="G942" s="14"/>
      <c r="H942" s="14"/>
    </row>
    <row r="943">
      <c r="G943" s="14"/>
      <c r="H943" s="14"/>
    </row>
    <row r="944">
      <c r="G944" s="14"/>
      <c r="H944" s="14"/>
    </row>
    <row r="945">
      <c r="G945" s="14"/>
      <c r="H945" s="14"/>
    </row>
    <row r="946">
      <c r="G946" s="14"/>
      <c r="H946" s="14"/>
    </row>
    <row r="947">
      <c r="G947" s="14"/>
      <c r="H947" s="14"/>
    </row>
    <row r="948">
      <c r="G948" s="14"/>
      <c r="H948" s="14"/>
    </row>
    <row r="949">
      <c r="G949" s="14"/>
      <c r="H949" s="14"/>
    </row>
    <row r="950">
      <c r="G950" s="14"/>
      <c r="H950" s="14"/>
    </row>
    <row r="951">
      <c r="G951" s="14"/>
      <c r="H951" s="14"/>
    </row>
    <row r="952">
      <c r="G952" s="14"/>
      <c r="H952" s="14"/>
    </row>
    <row r="953">
      <c r="G953" s="14"/>
      <c r="H953" s="14"/>
    </row>
    <row r="954">
      <c r="G954" s="14"/>
      <c r="H954" s="14"/>
    </row>
    <row r="955">
      <c r="G955" s="14"/>
      <c r="H955" s="14"/>
    </row>
    <row r="956">
      <c r="G956" s="14"/>
      <c r="H956" s="14"/>
    </row>
    <row r="957">
      <c r="G957" s="14"/>
      <c r="H957" s="14"/>
    </row>
    <row r="958">
      <c r="G958" s="14"/>
      <c r="H958" s="14"/>
    </row>
    <row r="959">
      <c r="G959" s="14"/>
      <c r="H959" s="14"/>
    </row>
    <row r="960">
      <c r="G960" s="14"/>
      <c r="H960" s="14"/>
    </row>
    <row r="961">
      <c r="G961" s="14"/>
      <c r="H961" s="14"/>
    </row>
    <row r="962">
      <c r="G962" s="14"/>
      <c r="H962" s="14"/>
    </row>
    <row r="963">
      <c r="G963" s="14"/>
      <c r="H963" s="14"/>
    </row>
    <row r="964">
      <c r="G964" s="14"/>
      <c r="H964" s="14"/>
    </row>
    <row r="965">
      <c r="G965" s="14"/>
      <c r="H965" s="14"/>
    </row>
    <row r="966">
      <c r="G966" s="14"/>
      <c r="H966" s="14"/>
    </row>
    <row r="967">
      <c r="G967" s="14"/>
      <c r="H967" s="14"/>
    </row>
    <row r="968">
      <c r="G968" s="14"/>
      <c r="H968" s="14"/>
    </row>
    <row r="969">
      <c r="G969" s="14"/>
      <c r="H969" s="14"/>
    </row>
    <row r="970">
      <c r="G970" s="14"/>
      <c r="H970" s="14"/>
    </row>
    <row r="971">
      <c r="G971" s="14"/>
      <c r="H971" s="14"/>
    </row>
    <row r="972">
      <c r="G972" s="14"/>
      <c r="H972" s="14"/>
    </row>
    <row r="973">
      <c r="G973" s="14"/>
      <c r="H973" s="14"/>
    </row>
    <row r="974">
      <c r="G974" s="14"/>
      <c r="H974" s="14"/>
    </row>
    <row r="975">
      <c r="G975" s="14"/>
      <c r="H975" s="14"/>
    </row>
    <row r="976">
      <c r="G976" s="14"/>
      <c r="H976" s="14"/>
    </row>
    <row r="977">
      <c r="G977" s="14"/>
      <c r="H977" s="14"/>
    </row>
    <row r="978">
      <c r="G978" s="14"/>
      <c r="H978" s="14"/>
    </row>
    <row r="979">
      <c r="G979" s="14"/>
      <c r="H979" s="14"/>
    </row>
    <row r="980">
      <c r="G980" s="14"/>
      <c r="H980" s="14"/>
    </row>
    <row r="981">
      <c r="G981" s="14"/>
      <c r="H981" s="14"/>
    </row>
    <row r="982">
      <c r="G982" s="14"/>
      <c r="H982" s="14"/>
    </row>
    <row r="983">
      <c r="G983" s="14"/>
      <c r="H983" s="14"/>
    </row>
    <row r="984">
      <c r="G984" s="14"/>
      <c r="H984" s="14"/>
    </row>
    <row r="985">
      <c r="G985" s="14"/>
      <c r="H985" s="14"/>
    </row>
    <row r="986">
      <c r="G986" s="14"/>
      <c r="H986" s="14"/>
    </row>
    <row r="987">
      <c r="G987" s="14"/>
      <c r="H987" s="14"/>
    </row>
    <row r="988">
      <c r="G988" s="14"/>
      <c r="H988" s="14"/>
    </row>
    <row r="989">
      <c r="G989" s="14"/>
      <c r="H989" s="14"/>
    </row>
    <row r="990">
      <c r="G990" s="14"/>
      <c r="H990" s="14"/>
    </row>
    <row r="991">
      <c r="G991" s="14"/>
      <c r="H991" s="14"/>
    </row>
    <row r="992">
      <c r="G992" s="14"/>
      <c r="H992" s="14"/>
    </row>
    <row r="993">
      <c r="G993" s="14"/>
      <c r="H993" s="14"/>
    </row>
    <row r="994">
      <c r="G994" s="14"/>
      <c r="H994" s="14"/>
    </row>
    <row r="995">
      <c r="G995" s="14"/>
      <c r="H995" s="14"/>
    </row>
    <row r="996">
      <c r="G996" s="14"/>
      <c r="H996" s="14"/>
    </row>
    <row r="997">
      <c r="G997" s="14"/>
      <c r="H997" s="14"/>
    </row>
    <row r="998">
      <c r="G998" s="14"/>
      <c r="H998" s="14"/>
    </row>
    <row r="999">
      <c r="G999" s="14"/>
      <c r="H999" s="14"/>
    </row>
    <row r="1000">
      <c r="G1000" s="14"/>
      <c r="H1000" s="14"/>
    </row>
    <row r="1001">
      <c r="G1001" s="14"/>
      <c r="H1001" s="14"/>
    </row>
    <row r="1002">
      <c r="G1002" s="14"/>
      <c r="H1002" s="14"/>
    </row>
    <row r="1003">
      <c r="G1003" s="14"/>
      <c r="H1003" s="14"/>
    </row>
    <row r="1004">
      <c r="G1004" s="14"/>
      <c r="H1004" s="14"/>
    </row>
    <row r="1005">
      <c r="G1005" s="14"/>
      <c r="H1005" s="14"/>
    </row>
    <row r="1006">
      <c r="G1006" s="14"/>
      <c r="H1006" s="14"/>
    </row>
    <row r="1007">
      <c r="G1007" s="14"/>
      <c r="H1007" s="14"/>
    </row>
    <row r="1008">
      <c r="G1008" s="14"/>
      <c r="H1008" s="14"/>
    </row>
    <row r="1009">
      <c r="G1009" s="14"/>
      <c r="H1009" s="14"/>
    </row>
    <row r="1010">
      <c r="G1010" s="14"/>
      <c r="H1010" s="14"/>
    </row>
    <row r="1011">
      <c r="G1011" s="14"/>
      <c r="H1011" s="14"/>
    </row>
    <row r="1012">
      <c r="G1012" s="14"/>
      <c r="H1012" s="14"/>
    </row>
    <row r="1013">
      <c r="G1013" s="14"/>
      <c r="H1013" s="14"/>
    </row>
    <row r="1014">
      <c r="G1014" s="14"/>
      <c r="H1014" s="14"/>
    </row>
    <row r="1015">
      <c r="G1015" s="14"/>
      <c r="H1015" s="14"/>
    </row>
    <row r="1016">
      <c r="G1016" s="14"/>
      <c r="H1016" s="14"/>
    </row>
    <row r="1017">
      <c r="G1017" s="14"/>
      <c r="H1017" s="14"/>
    </row>
    <row r="1018">
      <c r="G1018" s="14"/>
      <c r="H1018" s="14"/>
    </row>
    <row r="1019">
      <c r="G1019" s="14"/>
      <c r="H1019" s="14"/>
    </row>
    <row r="1020">
      <c r="G1020" s="14"/>
      <c r="H1020" s="14"/>
    </row>
    <row r="1021">
      <c r="G1021" s="14"/>
      <c r="H1021" s="14"/>
    </row>
    <row r="1022">
      <c r="G1022" s="14"/>
      <c r="H1022" s="14"/>
    </row>
    <row r="1023">
      <c r="G1023" s="14"/>
      <c r="H1023" s="14"/>
    </row>
    <row r="1024">
      <c r="G1024" s="14"/>
      <c r="H1024" s="14"/>
    </row>
    <row r="1025">
      <c r="G1025" s="14"/>
      <c r="H1025" s="14"/>
    </row>
    <row r="1026">
      <c r="G1026" s="14"/>
      <c r="H1026" s="14"/>
    </row>
    <row r="1027">
      <c r="G1027" s="14"/>
      <c r="H1027" s="14"/>
    </row>
    <row r="1028">
      <c r="G1028" s="14"/>
      <c r="H1028" s="14"/>
    </row>
    <row r="1029">
      <c r="G1029" s="14"/>
      <c r="H1029" s="14"/>
    </row>
    <row r="1030">
      <c r="G1030" s="14"/>
      <c r="H1030" s="14"/>
    </row>
    <row r="1031">
      <c r="G1031" s="14"/>
      <c r="H1031" s="14"/>
    </row>
    <row r="1032">
      <c r="G1032" s="14"/>
      <c r="H1032" s="14"/>
    </row>
    <row r="1033">
      <c r="G1033" s="14"/>
      <c r="H1033" s="14"/>
    </row>
    <row r="1034">
      <c r="G1034" s="14"/>
      <c r="H1034" s="14"/>
    </row>
    <row r="1035">
      <c r="G1035" s="14"/>
      <c r="H1035" s="14"/>
    </row>
    <row r="1036">
      <c r="G1036" s="14"/>
      <c r="H1036" s="14"/>
    </row>
    <row r="1037">
      <c r="G1037" s="14"/>
      <c r="H1037" s="14"/>
    </row>
    <row r="1038">
      <c r="G1038" s="14"/>
      <c r="H1038" s="14"/>
    </row>
    <row r="1039">
      <c r="G1039" s="14"/>
      <c r="H1039" s="14"/>
    </row>
    <row r="1040">
      <c r="G1040" s="14"/>
      <c r="H1040" s="14"/>
    </row>
    <row r="1041">
      <c r="G1041" s="14"/>
      <c r="H1041" s="14"/>
    </row>
    <row r="1042">
      <c r="G1042" s="14"/>
      <c r="H1042" s="14"/>
    </row>
    <row r="1043">
      <c r="G1043" s="14"/>
      <c r="H1043" s="14"/>
    </row>
    <row r="1044">
      <c r="G1044" s="14"/>
      <c r="H1044" s="14"/>
    </row>
    <row r="1045">
      <c r="G1045" s="14"/>
      <c r="H1045" s="14"/>
    </row>
    <row r="1046">
      <c r="G1046" s="14"/>
      <c r="H1046" s="14"/>
    </row>
    <row r="1047">
      <c r="G1047" s="14"/>
      <c r="H1047" s="14"/>
    </row>
    <row r="1048">
      <c r="G1048" s="14"/>
      <c r="H1048" s="14"/>
    </row>
    <row r="1049">
      <c r="G1049" s="14"/>
      <c r="H1049" s="14"/>
    </row>
    <row r="1050">
      <c r="G1050" s="14"/>
      <c r="H1050" s="14"/>
    </row>
    <row r="1051">
      <c r="G1051" s="14"/>
      <c r="H1051" s="14"/>
    </row>
    <row r="1052">
      <c r="G1052" s="14"/>
      <c r="H1052" s="14"/>
    </row>
    <row r="1053">
      <c r="G1053" s="14"/>
      <c r="H1053" s="14"/>
    </row>
    <row r="1054">
      <c r="G1054" s="14"/>
      <c r="H1054" s="14"/>
    </row>
    <row r="1055">
      <c r="G1055" s="14"/>
      <c r="H1055" s="14"/>
    </row>
    <row r="1056">
      <c r="G1056" s="14"/>
      <c r="H1056" s="14"/>
    </row>
    <row r="1057">
      <c r="G1057" s="14"/>
      <c r="H1057" s="14"/>
    </row>
    <row r="1058">
      <c r="G1058" s="14"/>
      <c r="H1058" s="14"/>
    </row>
    <row r="1059">
      <c r="G1059" s="14"/>
      <c r="H1059" s="14"/>
    </row>
    <row r="1060">
      <c r="G1060" s="14"/>
      <c r="H1060" s="14"/>
    </row>
    <row r="1061">
      <c r="G1061" s="14"/>
      <c r="H1061" s="14"/>
    </row>
    <row r="1062">
      <c r="G1062" s="14"/>
      <c r="H1062" s="14"/>
    </row>
    <row r="1063">
      <c r="G1063" s="14"/>
      <c r="H1063" s="14"/>
    </row>
    <row r="1064">
      <c r="G1064" s="14"/>
      <c r="H1064" s="14"/>
    </row>
    <row r="1065">
      <c r="G1065" s="14"/>
      <c r="H1065" s="14"/>
    </row>
    <row r="1066">
      <c r="G1066" s="14"/>
      <c r="H1066" s="14"/>
    </row>
    <row r="1067">
      <c r="G1067" s="14"/>
      <c r="H1067" s="14"/>
    </row>
    <row r="1068">
      <c r="G1068" s="14"/>
      <c r="H1068" s="14"/>
    </row>
  </sheetData>
  <mergeCells count="16">
    <mergeCell ref="A1:F1"/>
    <mergeCell ref="A2:F2"/>
    <mergeCell ref="A3:F3"/>
    <mergeCell ref="A4:F4"/>
    <mergeCell ref="A56:F56"/>
    <mergeCell ref="A57:F57"/>
    <mergeCell ref="A58:F58"/>
    <mergeCell ref="A97:F97"/>
    <mergeCell ref="A98:F98"/>
    <mergeCell ref="A59:F59"/>
    <mergeCell ref="A84:F84"/>
    <mergeCell ref="A85:F85"/>
    <mergeCell ref="A86:F86"/>
    <mergeCell ref="A87:F87"/>
    <mergeCell ref="A95:F95"/>
    <mergeCell ref="A96:F9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38"/>
  </cols>
  <sheetData>
    <row r="1">
      <c r="A1" s="36" t="s">
        <v>144</v>
      </c>
      <c r="G1" s="14"/>
      <c r="H1" s="14"/>
      <c r="I1" s="14"/>
    </row>
    <row r="2">
      <c r="A2" s="37" t="s">
        <v>245</v>
      </c>
      <c r="B2" s="38"/>
      <c r="C2" s="38"/>
      <c r="D2" s="38"/>
      <c r="E2" s="38"/>
      <c r="F2" s="39"/>
      <c r="G2" s="14"/>
      <c r="H2" s="14"/>
      <c r="I2" s="14"/>
    </row>
    <row r="3">
      <c r="A3" s="37" t="s">
        <v>366</v>
      </c>
      <c r="B3" s="38"/>
      <c r="C3" s="38"/>
      <c r="D3" s="38"/>
      <c r="E3" s="38"/>
      <c r="F3" s="39"/>
      <c r="G3" s="14"/>
      <c r="H3" s="14"/>
      <c r="I3" s="14"/>
    </row>
    <row r="4">
      <c r="A4" s="40"/>
      <c r="B4" s="41"/>
      <c r="C4" s="41"/>
      <c r="D4" s="41"/>
      <c r="E4" s="41"/>
      <c r="F4" s="42"/>
      <c r="G4" s="14"/>
      <c r="H4" s="14"/>
      <c r="I4" s="14"/>
    </row>
    <row r="5">
      <c r="A5" s="43" t="s">
        <v>0</v>
      </c>
      <c r="B5" s="2" t="s">
        <v>367</v>
      </c>
      <c r="C5" s="2" t="s">
        <v>368</v>
      </c>
      <c r="D5" s="2" t="s">
        <v>369</v>
      </c>
      <c r="E5" s="2" t="s">
        <v>370</v>
      </c>
      <c r="F5" s="6" t="s">
        <v>371</v>
      </c>
      <c r="G5" s="21" t="s">
        <v>372</v>
      </c>
      <c r="H5" s="21" t="s">
        <v>373</v>
      </c>
      <c r="I5" s="21" t="s">
        <v>194</v>
      </c>
    </row>
    <row r="6">
      <c r="A6" s="28">
        <v>1.0</v>
      </c>
      <c r="B6" s="28"/>
      <c r="C6" s="28" t="s">
        <v>110</v>
      </c>
      <c r="D6" s="100">
        <v>9.0</v>
      </c>
      <c r="E6" s="100">
        <v>1.0</v>
      </c>
      <c r="F6" s="28"/>
      <c r="G6" s="14"/>
      <c r="H6" s="14"/>
      <c r="I6" s="14"/>
      <c r="J6" s="101" t="s">
        <v>374</v>
      </c>
      <c r="K6" s="102"/>
    </row>
    <row r="7">
      <c r="A7" s="28"/>
      <c r="B7" s="28"/>
      <c r="C7" s="28"/>
      <c r="D7" s="100">
        <v>8.0</v>
      </c>
      <c r="E7" s="100">
        <v>1.0</v>
      </c>
      <c r="F7" s="28"/>
      <c r="G7" s="14"/>
      <c r="H7" s="14"/>
      <c r="I7" s="14"/>
    </row>
    <row r="8">
      <c r="A8" s="28"/>
      <c r="B8" s="28"/>
      <c r="C8" s="28"/>
      <c r="D8" s="100">
        <v>7.0</v>
      </c>
      <c r="E8" s="100">
        <v>2.0</v>
      </c>
      <c r="F8" s="28"/>
      <c r="G8" s="14"/>
      <c r="H8" s="14"/>
      <c r="I8" s="14"/>
    </row>
    <row r="9">
      <c r="A9" s="28"/>
      <c r="B9" s="28"/>
      <c r="C9" s="28"/>
      <c r="D9" s="100">
        <v>6.0</v>
      </c>
      <c r="E9" s="100">
        <v>2.0</v>
      </c>
      <c r="F9" s="28"/>
      <c r="G9" s="14"/>
      <c r="H9" s="14"/>
      <c r="I9" s="14"/>
    </row>
    <row r="10">
      <c r="A10" s="28"/>
      <c r="B10" s="28"/>
      <c r="C10" s="28"/>
      <c r="D10" s="100">
        <v>14.0</v>
      </c>
      <c r="E10" s="100">
        <v>1.0</v>
      </c>
      <c r="F10" s="35"/>
      <c r="G10" s="14"/>
      <c r="H10" s="14"/>
      <c r="I10" s="14"/>
    </row>
    <row r="11">
      <c r="A11" s="28"/>
      <c r="B11" s="28"/>
      <c r="C11" s="28"/>
      <c r="D11" s="100">
        <v>9.0</v>
      </c>
      <c r="E11" s="100">
        <v>1.0</v>
      </c>
      <c r="F11" s="35"/>
      <c r="G11" s="14"/>
      <c r="H11" s="14"/>
      <c r="I11" s="14"/>
    </row>
    <row r="12">
      <c r="A12" s="35"/>
      <c r="B12" s="35"/>
      <c r="C12" s="35"/>
      <c r="D12" s="100">
        <v>13.0</v>
      </c>
      <c r="E12" s="100">
        <v>2.0</v>
      </c>
      <c r="F12" s="35"/>
      <c r="G12" s="14"/>
      <c r="H12" s="14"/>
      <c r="I12" s="14"/>
    </row>
    <row r="13">
      <c r="A13" s="35"/>
      <c r="B13" s="35"/>
      <c r="C13" s="35"/>
      <c r="D13" s="100">
        <v>10.0</v>
      </c>
      <c r="E13" s="100">
        <v>2.0</v>
      </c>
      <c r="F13" s="35"/>
      <c r="G13" s="14"/>
      <c r="H13" s="14"/>
      <c r="I13" s="14"/>
    </row>
    <row r="14">
      <c r="A14" s="35"/>
      <c r="B14" s="35"/>
      <c r="C14" s="35"/>
      <c r="D14" s="100">
        <v>8.0</v>
      </c>
      <c r="E14" s="100">
        <v>2.0</v>
      </c>
      <c r="F14" s="35"/>
      <c r="G14" s="14"/>
      <c r="H14" s="14"/>
      <c r="I14" s="14"/>
    </row>
    <row r="15">
      <c r="A15" s="35"/>
      <c r="B15" s="35"/>
      <c r="C15" s="35"/>
      <c r="D15" s="100">
        <v>8.0</v>
      </c>
      <c r="E15" s="100">
        <v>2.0</v>
      </c>
      <c r="F15" s="35"/>
      <c r="G15" s="14"/>
      <c r="H15" s="14"/>
      <c r="I15" s="14"/>
    </row>
    <row r="16">
      <c r="A16" s="35"/>
      <c r="B16" s="35"/>
      <c r="C16" s="35"/>
      <c r="D16" s="100">
        <v>5.0</v>
      </c>
      <c r="E16" s="100">
        <v>3.0</v>
      </c>
      <c r="F16" s="35"/>
      <c r="G16" s="14"/>
      <c r="H16" s="14"/>
      <c r="I16" s="14"/>
    </row>
    <row r="17">
      <c r="A17" s="35"/>
      <c r="B17" s="35"/>
      <c r="C17" s="35"/>
      <c r="D17" s="100">
        <v>6.0</v>
      </c>
      <c r="E17" s="100">
        <v>1.0</v>
      </c>
      <c r="F17" s="35"/>
      <c r="G17" s="14"/>
      <c r="H17" s="14"/>
      <c r="I17" s="14"/>
    </row>
    <row r="18">
      <c r="A18" s="35"/>
      <c r="B18" s="35"/>
      <c r="C18" s="35"/>
      <c r="D18" s="100">
        <v>8.0</v>
      </c>
      <c r="E18" s="100">
        <v>2.0</v>
      </c>
      <c r="F18" s="35"/>
      <c r="G18" s="14"/>
      <c r="H18" s="14"/>
      <c r="I18" s="14"/>
    </row>
    <row r="19">
      <c r="A19" s="35"/>
      <c r="B19" s="35"/>
      <c r="C19" s="35"/>
      <c r="D19" s="100">
        <v>9.0</v>
      </c>
      <c r="E19" s="100">
        <v>1.0</v>
      </c>
      <c r="F19" s="35"/>
      <c r="G19" s="14"/>
      <c r="H19" s="14"/>
      <c r="I19" s="14"/>
    </row>
    <row r="20">
      <c r="A20" s="35"/>
      <c r="B20" s="35"/>
      <c r="C20" s="35"/>
      <c r="D20" s="100">
        <v>8.0</v>
      </c>
      <c r="E20" s="100">
        <v>3.0</v>
      </c>
      <c r="F20" s="35"/>
      <c r="G20" s="14"/>
      <c r="H20" s="14"/>
      <c r="I20" s="14"/>
    </row>
    <row r="21">
      <c r="A21" s="35"/>
      <c r="B21" s="35"/>
      <c r="C21" s="35"/>
      <c r="D21" s="100">
        <v>4.0</v>
      </c>
      <c r="E21" s="100">
        <v>2.0</v>
      </c>
      <c r="F21" s="35"/>
      <c r="G21" s="14"/>
      <c r="H21" s="14"/>
      <c r="I21" s="14"/>
    </row>
    <row r="22">
      <c r="A22" s="35"/>
      <c r="B22" s="35"/>
      <c r="C22" s="35"/>
      <c r="D22" s="100">
        <v>8.0</v>
      </c>
      <c r="E22" s="100">
        <v>2.0</v>
      </c>
      <c r="F22" s="35"/>
      <c r="G22" s="14"/>
      <c r="H22" s="14"/>
      <c r="I22" s="14"/>
    </row>
    <row r="23">
      <c r="A23" s="35"/>
      <c r="B23" s="35"/>
      <c r="C23" s="35"/>
      <c r="D23" s="100">
        <v>8.0</v>
      </c>
      <c r="E23" s="100">
        <v>2.0</v>
      </c>
      <c r="F23" s="35"/>
      <c r="G23" s="14"/>
      <c r="H23" s="14"/>
      <c r="I23" s="14"/>
    </row>
    <row r="24">
      <c r="A24" s="35"/>
      <c r="B24" s="35"/>
      <c r="C24" s="35"/>
      <c r="D24" s="100">
        <v>9.0</v>
      </c>
      <c r="E24" s="100">
        <v>2.0</v>
      </c>
      <c r="F24" s="35"/>
      <c r="G24" s="14"/>
      <c r="H24" s="14"/>
      <c r="I24" s="14"/>
    </row>
    <row r="25">
      <c r="A25" s="35"/>
      <c r="B25" s="35"/>
      <c r="C25" s="35"/>
      <c r="D25" s="100">
        <v>9.0</v>
      </c>
      <c r="E25" s="100">
        <v>2.0</v>
      </c>
      <c r="F25" s="35"/>
      <c r="G25" s="14"/>
      <c r="H25" s="14"/>
      <c r="I25" s="14"/>
    </row>
    <row r="26">
      <c r="A26" s="35"/>
      <c r="B26" s="35"/>
      <c r="C26" s="35"/>
      <c r="D26" s="100">
        <v>5.0</v>
      </c>
      <c r="E26" s="100">
        <v>1.0</v>
      </c>
      <c r="F26" s="35"/>
      <c r="G26" s="14"/>
      <c r="H26" s="14"/>
      <c r="I26" s="14"/>
    </row>
    <row r="27">
      <c r="A27" s="35"/>
      <c r="B27" s="35"/>
      <c r="C27" s="35"/>
      <c r="D27" s="100">
        <v>11.0</v>
      </c>
      <c r="E27" s="100">
        <v>2.0</v>
      </c>
      <c r="F27" s="35"/>
      <c r="G27" s="14"/>
      <c r="H27" s="14"/>
      <c r="I27" s="14"/>
    </row>
    <row r="28">
      <c r="A28" s="35"/>
      <c r="B28" s="35"/>
      <c r="C28" s="35"/>
      <c r="D28" s="100">
        <v>8.0</v>
      </c>
      <c r="E28" s="100">
        <v>1.0</v>
      </c>
      <c r="F28" s="35"/>
      <c r="G28" s="14"/>
      <c r="H28" s="14"/>
      <c r="I28" s="14"/>
    </row>
    <row r="29">
      <c r="A29" s="35"/>
      <c r="B29" s="35"/>
      <c r="C29" s="35"/>
      <c r="D29" s="100">
        <v>7.0</v>
      </c>
      <c r="E29" s="100">
        <v>1.0</v>
      </c>
      <c r="F29" s="35"/>
      <c r="G29" s="14"/>
      <c r="H29" s="14"/>
      <c r="I29" s="14"/>
    </row>
    <row r="30">
      <c r="A30" s="35"/>
      <c r="B30" s="35"/>
      <c r="C30" s="35"/>
      <c r="D30" s="100">
        <v>10.0</v>
      </c>
      <c r="E30" s="100">
        <v>2.0</v>
      </c>
      <c r="F30" s="35"/>
      <c r="G30" s="14"/>
      <c r="H30" s="14"/>
      <c r="I30" s="14"/>
    </row>
    <row r="31">
      <c r="A31" s="35"/>
      <c r="B31" s="35"/>
      <c r="C31" s="35"/>
      <c r="D31" s="100">
        <v>6.0</v>
      </c>
      <c r="E31" s="100">
        <v>2.0</v>
      </c>
      <c r="F31" s="35"/>
      <c r="G31" s="14"/>
      <c r="H31" s="14"/>
      <c r="I31" s="14"/>
    </row>
    <row r="32">
      <c r="A32" s="35"/>
      <c r="B32" s="35"/>
      <c r="C32" s="35"/>
      <c r="D32" s="100">
        <v>9.0</v>
      </c>
      <c r="E32" s="100">
        <v>2.0</v>
      </c>
      <c r="F32" s="35"/>
      <c r="G32" s="14"/>
      <c r="H32" s="14"/>
      <c r="I32" s="14"/>
    </row>
    <row r="33">
      <c r="A33" s="35"/>
      <c r="B33" s="35"/>
      <c r="C33" s="35"/>
      <c r="D33" s="100">
        <v>5.0</v>
      </c>
      <c r="E33" s="100">
        <v>1.0</v>
      </c>
      <c r="F33" s="35"/>
      <c r="G33" s="14"/>
      <c r="H33" s="14"/>
      <c r="I33" s="14"/>
    </row>
    <row r="34">
      <c r="A34" s="35"/>
      <c r="B34" s="35"/>
      <c r="C34" s="35"/>
      <c r="D34" s="100">
        <v>7.0</v>
      </c>
      <c r="E34" s="100">
        <v>1.0</v>
      </c>
      <c r="F34" s="35"/>
      <c r="G34" s="14"/>
      <c r="H34" s="14"/>
      <c r="I34" s="14"/>
    </row>
    <row r="35">
      <c r="A35" s="35"/>
      <c r="B35" s="35"/>
      <c r="C35" s="35"/>
      <c r="D35" s="100">
        <v>15.0</v>
      </c>
      <c r="E35" s="100">
        <v>1.0</v>
      </c>
      <c r="F35" s="35"/>
      <c r="G35" s="14"/>
      <c r="H35" s="14"/>
      <c r="I35" s="14"/>
    </row>
    <row r="36">
      <c r="A36" s="35"/>
      <c r="B36" s="35"/>
      <c r="C36" s="35"/>
      <c r="D36" s="100">
        <v>9.0</v>
      </c>
      <c r="E36" s="100">
        <v>1.0</v>
      </c>
      <c r="F36" s="35"/>
      <c r="G36" s="14"/>
      <c r="H36" s="14"/>
      <c r="I36" s="14"/>
    </row>
    <row r="37">
      <c r="A37" s="35"/>
      <c r="B37" s="35"/>
      <c r="C37" s="35"/>
      <c r="D37" s="100">
        <v>11.0</v>
      </c>
      <c r="E37" s="100">
        <v>1.0</v>
      </c>
      <c r="F37" s="35"/>
      <c r="G37" s="14"/>
      <c r="H37" s="14"/>
      <c r="I37" s="14"/>
    </row>
    <row r="38">
      <c r="A38" s="35"/>
      <c r="B38" s="35"/>
      <c r="C38" s="35"/>
      <c r="D38" s="100">
        <v>9.0</v>
      </c>
      <c r="E38" s="100">
        <v>1.0</v>
      </c>
      <c r="F38" s="35"/>
      <c r="G38" s="14">
        <f>count(D6:D38)</f>
        <v>33</v>
      </c>
      <c r="H38" s="14">
        <f t="shared" ref="H38:I38" si="1">average(D6:D38)</f>
        <v>8.424242424</v>
      </c>
      <c r="I38" s="14">
        <f t="shared" si="1"/>
        <v>1.606060606</v>
      </c>
    </row>
    <row r="39">
      <c r="A39" s="28">
        <v>2.0</v>
      </c>
      <c r="B39" s="35"/>
      <c r="C39" s="28" t="s">
        <v>110</v>
      </c>
      <c r="D39" s="100">
        <v>7.0</v>
      </c>
      <c r="E39" s="100">
        <v>2.0</v>
      </c>
      <c r="F39" s="35"/>
      <c r="G39" s="14"/>
      <c r="H39" s="14"/>
      <c r="I39" s="14"/>
    </row>
    <row r="40">
      <c r="A40" s="35"/>
      <c r="B40" s="35"/>
      <c r="C40" s="35"/>
      <c r="D40" s="100">
        <v>4.0</v>
      </c>
      <c r="E40" s="100">
        <v>1.0</v>
      </c>
      <c r="F40" s="35"/>
      <c r="G40" s="14"/>
      <c r="H40" s="14"/>
      <c r="I40" s="14"/>
    </row>
    <row r="41">
      <c r="A41" s="35"/>
      <c r="B41" s="35"/>
      <c r="C41" s="35"/>
      <c r="D41" s="100">
        <v>10.0</v>
      </c>
      <c r="E41" s="100">
        <v>1.0</v>
      </c>
      <c r="F41" s="35"/>
      <c r="G41" s="14"/>
      <c r="H41" s="14"/>
      <c r="I41" s="14"/>
    </row>
    <row r="42">
      <c r="A42" s="35"/>
      <c r="B42" s="35"/>
      <c r="C42" s="35"/>
      <c r="D42" s="100">
        <v>11.0</v>
      </c>
      <c r="E42" s="100">
        <v>2.0</v>
      </c>
      <c r="F42" s="35"/>
      <c r="G42" s="14"/>
      <c r="H42" s="14"/>
      <c r="I42" s="14"/>
    </row>
    <row r="43">
      <c r="A43" s="35"/>
      <c r="B43" s="35"/>
      <c r="C43" s="35"/>
      <c r="D43" s="100">
        <v>8.0</v>
      </c>
      <c r="E43" s="100">
        <v>3.0</v>
      </c>
      <c r="F43" s="35"/>
      <c r="G43" s="14"/>
      <c r="H43" s="14"/>
      <c r="I43" s="14"/>
    </row>
    <row r="44">
      <c r="A44" s="35"/>
      <c r="B44" s="35"/>
      <c r="C44" s="35"/>
      <c r="D44" s="100">
        <v>11.0</v>
      </c>
      <c r="E44" s="100">
        <v>2.0</v>
      </c>
      <c r="F44" s="35"/>
      <c r="G44" s="14"/>
      <c r="H44" s="14"/>
      <c r="I44" s="14"/>
    </row>
    <row r="45">
      <c r="A45" s="35"/>
      <c r="B45" s="35"/>
      <c r="C45" s="35"/>
      <c r="D45" s="100">
        <v>7.0</v>
      </c>
      <c r="E45" s="100">
        <v>3.0</v>
      </c>
      <c r="F45" s="35"/>
      <c r="G45" s="14"/>
      <c r="H45" s="14"/>
      <c r="I45" s="14"/>
    </row>
    <row r="46">
      <c r="A46" s="35"/>
      <c r="B46" s="35"/>
      <c r="C46" s="35"/>
      <c r="D46" s="100">
        <v>7.0</v>
      </c>
      <c r="E46" s="100">
        <v>2.0</v>
      </c>
      <c r="F46" s="35"/>
      <c r="G46" s="14"/>
      <c r="H46" s="14"/>
      <c r="I46" s="14"/>
    </row>
    <row r="47">
      <c r="A47" s="35"/>
      <c r="B47" s="35"/>
      <c r="C47" s="35"/>
      <c r="D47" s="100">
        <v>8.0</v>
      </c>
      <c r="E47" s="100">
        <v>2.0</v>
      </c>
      <c r="F47" s="35"/>
      <c r="G47" s="14"/>
      <c r="H47" s="14"/>
      <c r="I47" s="14"/>
    </row>
    <row r="48">
      <c r="A48" s="35"/>
      <c r="B48" s="35"/>
      <c r="C48" s="35"/>
      <c r="D48" s="100">
        <v>12.0</v>
      </c>
      <c r="E48" s="100">
        <v>3.0</v>
      </c>
      <c r="F48" s="35"/>
      <c r="G48" s="14"/>
      <c r="H48" s="14"/>
      <c r="I48" s="14"/>
    </row>
    <row r="49">
      <c r="A49" s="35"/>
      <c r="B49" s="35"/>
      <c r="C49" s="35"/>
      <c r="D49" s="100">
        <v>9.0</v>
      </c>
      <c r="E49" s="100">
        <v>3.0</v>
      </c>
      <c r="F49" s="35"/>
      <c r="G49" s="14"/>
      <c r="H49" s="14"/>
      <c r="I49" s="14"/>
    </row>
    <row r="50">
      <c r="A50" s="35"/>
      <c r="B50" s="35"/>
      <c r="C50" s="35"/>
      <c r="D50" s="100">
        <v>10.0</v>
      </c>
      <c r="E50" s="100">
        <v>2.0</v>
      </c>
      <c r="F50" s="35"/>
      <c r="G50" s="14"/>
      <c r="H50" s="14"/>
      <c r="I50" s="14"/>
    </row>
    <row r="51">
      <c r="A51" s="35"/>
      <c r="B51" s="35"/>
      <c r="C51" s="35"/>
      <c r="D51" s="100">
        <v>13.0</v>
      </c>
      <c r="E51" s="100">
        <v>2.0</v>
      </c>
      <c r="F51" s="35"/>
      <c r="G51" s="14"/>
      <c r="H51" s="14"/>
      <c r="I51" s="14"/>
    </row>
    <row r="52">
      <c r="A52" s="35"/>
      <c r="B52" s="35"/>
      <c r="C52" s="35"/>
      <c r="D52" s="100">
        <v>9.0</v>
      </c>
      <c r="E52" s="100">
        <v>1.0</v>
      </c>
      <c r="F52" s="35"/>
      <c r="G52" s="14"/>
      <c r="H52" s="14"/>
      <c r="I52" s="14"/>
    </row>
    <row r="53">
      <c r="A53" s="35"/>
      <c r="B53" s="35"/>
      <c r="C53" s="35"/>
      <c r="D53" s="100">
        <v>10.0</v>
      </c>
      <c r="E53" s="100">
        <v>1.0</v>
      </c>
      <c r="F53" s="35"/>
      <c r="G53" s="14"/>
      <c r="H53" s="14"/>
      <c r="I53" s="14"/>
    </row>
    <row r="54">
      <c r="A54" s="35"/>
      <c r="B54" s="35"/>
      <c r="C54" s="35"/>
      <c r="D54" s="100">
        <v>7.0</v>
      </c>
      <c r="E54" s="100">
        <v>2.0</v>
      </c>
      <c r="F54" s="35"/>
      <c r="G54" s="14"/>
      <c r="H54" s="14"/>
      <c r="I54" s="14"/>
    </row>
    <row r="55">
      <c r="A55" s="35"/>
      <c r="B55" s="35"/>
      <c r="C55" s="35"/>
      <c r="D55" s="100">
        <v>7.0</v>
      </c>
      <c r="E55" s="100">
        <v>2.0</v>
      </c>
      <c r="F55" s="35"/>
      <c r="G55" s="14"/>
      <c r="H55" s="14"/>
      <c r="I55" s="14"/>
    </row>
    <row r="56">
      <c r="A56" s="35"/>
      <c r="B56" s="35"/>
      <c r="C56" s="35"/>
      <c r="D56" s="100">
        <v>11.0</v>
      </c>
      <c r="E56" s="100">
        <v>2.0</v>
      </c>
      <c r="F56" s="35"/>
      <c r="G56" s="14"/>
      <c r="H56" s="14"/>
      <c r="I56" s="14"/>
    </row>
    <row r="57">
      <c r="A57" s="35"/>
      <c r="B57" s="35"/>
      <c r="C57" s="35"/>
      <c r="D57" s="100">
        <v>8.0</v>
      </c>
      <c r="E57" s="100">
        <v>1.0</v>
      </c>
      <c r="F57" s="35"/>
      <c r="G57" s="14"/>
      <c r="H57" s="14"/>
      <c r="I57" s="14"/>
    </row>
    <row r="58">
      <c r="A58" s="35"/>
      <c r="B58" s="35"/>
      <c r="C58" s="35"/>
      <c r="D58" s="100">
        <v>8.0</v>
      </c>
      <c r="E58" s="100">
        <v>2.0</v>
      </c>
      <c r="F58" s="35"/>
      <c r="G58" s="14"/>
      <c r="H58" s="14"/>
      <c r="I58" s="14"/>
    </row>
    <row r="59">
      <c r="A59" s="35"/>
      <c r="B59" s="35"/>
      <c r="C59" s="35"/>
      <c r="D59" s="100">
        <v>12.0</v>
      </c>
      <c r="E59" s="100">
        <v>2.0</v>
      </c>
      <c r="F59" s="35"/>
      <c r="G59" s="14"/>
      <c r="H59" s="14"/>
      <c r="I59" s="14"/>
    </row>
    <row r="60">
      <c r="A60" s="43"/>
      <c r="B60" s="2"/>
      <c r="C60" s="2"/>
      <c r="D60" s="103">
        <v>9.0</v>
      </c>
      <c r="E60" s="103">
        <v>3.0</v>
      </c>
      <c r="F60" s="6"/>
      <c r="G60" s="14"/>
      <c r="H60" s="14"/>
      <c r="I60" s="14"/>
    </row>
    <row r="61">
      <c r="A61" s="35"/>
      <c r="B61" s="35"/>
      <c r="C61" s="35"/>
      <c r="D61" s="100">
        <v>10.0</v>
      </c>
      <c r="E61" s="100">
        <v>4.0</v>
      </c>
      <c r="F61" s="35"/>
      <c r="G61" s="14"/>
      <c r="H61" s="14"/>
      <c r="I61" s="14"/>
    </row>
    <row r="62">
      <c r="A62" s="35"/>
      <c r="B62" s="35"/>
      <c r="C62" s="35"/>
      <c r="D62" s="100">
        <v>10.0</v>
      </c>
      <c r="E62" s="100">
        <v>1.0</v>
      </c>
      <c r="F62" s="35"/>
      <c r="G62" s="14"/>
      <c r="H62" s="14"/>
      <c r="I62" s="14"/>
    </row>
    <row r="63">
      <c r="A63" s="35"/>
      <c r="B63" s="35"/>
      <c r="C63" s="35"/>
      <c r="D63" s="100">
        <v>9.0</v>
      </c>
      <c r="E63" s="100">
        <v>5.0</v>
      </c>
      <c r="F63" s="35"/>
      <c r="G63" s="14"/>
      <c r="H63" s="14"/>
      <c r="I63" s="14"/>
    </row>
    <row r="64">
      <c r="A64" s="35"/>
      <c r="B64" s="35"/>
      <c r="C64" s="35"/>
      <c r="D64" s="100">
        <v>9.0</v>
      </c>
      <c r="E64" s="100">
        <v>2.0</v>
      </c>
      <c r="F64" s="35"/>
      <c r="G64" s="14"/>
      <c r="H64" s="14"/>
      <c r="I64" s="14"/>
    </row>
    <row r="65">
      <c r="A65" s="35"/>
      <c r="B65" s="35"/>
      <c r="C65" s="35"/>
      <c r="D65" s="100">
        <v>11.0</v>
      </c>
      <c r="E65" s="100">
        <v>4.0</v>
      </c>
      <c r="F65" s="35"/>
      <c r="G65" s="14"/>
      <c r="H65" s="14"/>
      <c r="I65" s="14"/>
    </row>
    <row r="66">
      <c r="A66" s="35"/>
      <c r="B66" s="35"/>
      <c r="C66" s="35"/>
      <c r="D66" s="100">
        <v>8.0</v>
      </c>
      <c r="E66" s="100">
        <v>2.0</v>
      </c>
      <c r="F66" s="35"/>
      <c r="G66" s="14"/>
      <c r="H66" s="14"/>
      <c r="I66" s="14"/>
    </row>
    <row r="67">
      <c r="A67" s="35"/>
      <c r="B67" s="35"/>
      <c r="C67" s="35"/>
      <c r="D67" s="100">
        <v>8.0</v>
      </c>
      <c r="E67" s="100">
        <v>1.0</v>
      </c>
      <c r="F67" s="35"/>
      <c r="G67" s="14"/>
      <c r="H67" s="14"/>
      <c r="I67" s="14"/>
    </row>
    <row r="68">
      <c r="A68" s="35"/>
      <c r="B68" s="35"/>
      <c r="C68" s="35"/>
      <c r="D68" s="100">
        <v>8.0</v>
      </c>
      <c r="E68" s="100">
        <v>4.0</v>
      </c>
      <c r="F68" s="35"/>
      <c r="G68" s="14"/>
      <c r="H68" s="14"/>
      <c r="I68" s="14"/>
    </row>
    <row r="69">
      <c r="A69" s="35"/>
      <c r="B69" s="35"/>
      <c r="C69" s="35"/>
      <c r="D69" s="100">
        <v>6.0</v>
      </c>
      <c r="E69" s="100">
        <v>2.0</v>
      </c>
      <c r="F69" s="35"/>
      <c r="G69" s="14"/>
      <c r="H69" s="14"/>
      <c r="I69" s="14"/>
    </row>
    <row r="70">
      <c r="A70" s="35"/>
      <c r="B70" s="35"/>
      <c r="C70" s="35"/>
      <c r="D70" s="100">
        <v>6.0</v>
      </c>
      <c r="E70" s="100">
        <v>1.0</v>
      </c>
      <c r="F70" s="35"/>
      <c r="G70" s="14"/>
      <c r="H70" s="14"/>
      <c r="I70" s="14"/>
    </row>
    <row r="71">
      <c r="A71" s="35"/>
      <c r="B71" s="35"/>
      <c r="C71" s="35"/>
      <c r="D71" s="100">
        <v>7.0</v>
      </c>
      <c r="E71" s="100">
        <v>4.0</v>
      </c>
      <c r="F71" s="35"/>
      <c r="G71" s="14"/>
      <c r="H71" s="14"/>
      <c r="I71" s="14"/>
    </row>
    <row r="72">
      <c r="A72" s="35"/>
      <c r="B72" s="35"/>
      <c r="C72" s="35"/>
      <c r="D72" s="100">
        <v>10.0</v>
      </c>
      <c r="E72" s="100">
        <v>3.0</v>
      </c>
      <c r="F72" s="35"/>
      <c r="G72" s="14"/>
      <c r="H72" s="14"/>
      <c r="I72" s="14"/>
    </row>
    <row r="73">
      <c r="A73" s="35"/>
      <c r="B73" s="35"/>
      <c r="C73" s="35"/>
      <c r="D73" s="100">
        <v>8.0</v>
      </c>
      <c r="E73" s="100">
        <v>1.0</v>
      </c>
      <c r="F73" s="35"/>
      <c r="G73" s="14"/>
      <c r="H73" s="14"/>
      <c r="I73" s="14"/>
    </row>
    <row r="74">
      <c r="A74" s="35"/>
      <c r="B74" s="35"/>
      <c r="C74" s="35"/>
      <c r="D74" s="100">
        <v>7.0</v>
      </c>
      <c r="E74" s="100">
        <v>2.0</v>
      </c>
      <c r="F74" s="35"/>
      <c r="G74" s="14"/>
      <c r="H74" s="14"/>
      <c r="I74" s="14"/>
    </row>
    <row r="75">
      <c r="A75" s="35"/>
      <c r="B75" s="35"/>
      <c r="C75" s="35"/>
      <c r="D75" s="100">
        <v>6.0</v>
      </c>
      <c r="E75" s="100">
        <v>1.0</v>
      </c>
      <c r="F75" s="35"/>
      <c r="G75" s="22">
        <f>count(D39:D75)</f>
        <v>37</v>
      </c>
      <c r="H75" s="14">
        <f t="shared" ref="H75:I75" si="2">average(D39:D75)</f>
        <v>8.675675676</v>
      </c>
      <c r="I75" s="14">
        <f t="shared" si="2"/>
        <v>2.189189189</v>
      </c>
    </row>
    <row r="76">
      <c r="A76" s="28">
        <v>6.0</v>
      </c>
      <c r="B76" s="35"/>
      <c r="C76" s="28" t="s">
        <v>110</v>
      </c>
      <c r="D76" s="100">
        <v>3.0</v>
      </c>
      <c r="E76" s="100">
        <v>1.0</v>
      </c>
      <c r="F76" s="21"/>
    </row>
    <row r="77">
      <c r="A77" s="35"/>
      <c r="B77" s="35"/>
      <c r="C77" s="35"/>
      <c r="D77" s="100">
        <v>7.0</v>
      </c>
      <c r="E77" s="100">
        <v>1.0</v>
      </c>
      <c r="F77" s="35"/>
      <c r="G77" s="14"/>
      <c r="H77" s="14"/>
      <c r="I77" s="14"/>
    </row>
    <row r="78">
      <c r="A78" s="35"/>
      <c r="B78" s="35"/>
      <c r="C78" s="35"/>
      <c r="D78" s="100">
        <v>5.0</v>
      </c>
      <c r="E78" s="100">
        <v>1.0</v>
      </c>
      <c r="F78" s="35"/>
      <c r="G78" s="14"/>
      <c r="H78" s="14"/>
      <c r="I78" s="14"/>
    </row>
    <row r="79">
      <c r="A79" s="35"/>
      <c r="B79" s="35"/>
      <c r="C79" s="35"/>
      <c r="D79" s="100">
        <v>7.0</v>
      </c>
      <c r="E79" s="100">
        <v>1.0</v>
      </c>
      <c r="F79" s="35"/>
      <c r="G79" s="14"/>
      <c r="H79" s="14"/>
      <c r="I79" s="14"/>
    </row>
    <row r="80">
      <c r="A80" s="35"/>
      <c r="B80" s="35"/>
      <c r="C80" s="35"/>
      <c r="D80" s="100">
        <v>4.0</v>
      </c>
      <c r="E80" s="100">
        <v>1.0</v>
      </c>
      <c r="F80" s="35"/>
      <c r="G80" s="14"/>
      <c r="H80" s="14"/>
      <c r="I80" s="14"/>
    </row>
    <row r="81">
      <c r="A81" s="35"/>
      <c r="B81" s="35"/>
      <c r="C81" s="35"/>
      <c r="D81" s="100">
        <v>5.0</v>
      </c>
      <c r="E81" s="100">
        <v>1.0</v>
      </c>
      <c r="F81" s="35"/>
      <c r="G81" s="14"/>
      <c r="H81" s="14"/>
      <c r="I81" s="14"/>
    </row>
    <row r="82">
      <c r="A82" s="35"/>
      <c r="B82" s="35"/>
      <c r="C82" s="35"/>
      <c r="D82" s="100">
        <v>5.0</v>
      </c>
      <c r="E82" s="100">
        <v>1.0</v>
      </c>
      <c r="F82" s="35"/>
      <c r="G82" s="14"/>
      <c r="H82" s="14"/>
      <c r="I82" s="14"/>
    </row>
    <row r="83">
      <c r="A83" s="35"/>
      <c r="B83" s="35"/>
      <c r="C83" s="35"/>
      <c r="D83" s="100">
        <v>4.0</v>
      </c>
      <c r="E83" s="100">
        <v>1.0</v>
      </c>
      <c r="F83" s="35"/>
      <c r="G83" s="14"/>
      <c r="H83" s="14"/>
      <c r="I83" s="14"/>
    </row>
    <row r="84">
      <c r="A84" s="35"/>
      <c r="B84" s="35"/>
      <c r="C84" s="35"/>
      <c r="D84" s="100">
        <v>3.0</v>
      </c>
      <c r="E84" s="100">
        <v>1.0</v>
      </c>
      <c r="F84" s="35"/>
      <c r="G84" s="14">
        <f>count(D76:D84)</f>
        <v>9</v>
      </c>
      <c r="H84" s="14">
        <f t="shared" ref="H84:I84" si="3">average(D76:D84)</f>
        <v>4.777777778</v>
      </c>
      <c r="I84" s="14">
        <f t="shared" si="3"/>
        <v>1</v>
      </c>
    </row>
    <row r="85">
      <c r="A85" s="28">
        <v>7.0</v>
      </c>
      <c r="B85" s="35"/>
      <c r="C85" s="28" t="s">
        <v>110</v>
      </c>
      <c r="D85" s="100">
        <v>10.0</v>
      </c>
      <c r="E85" s="100">
        <v>2.0</v>
      </c>
      <c r="F85" s="35"/>
      <c r="G85" s="14"/>
      <c r="H85" s="14"/>
      <c r="I85" s="14"/>
    </row>
    <row r="86">
      <c r="A86" s="35"/>
      <c r="B86" s="35"/>
      <c r="C86" s="35"/>
      <c r="D86" s="100">
        <v>8.0</v>
      </c>
      <c r="E86" s="100">
        <v>4.0</v>
      </c>
      <c r="F86" s="35"/>
      <c r="G86" s="14"/>
      <c r="H86" s="14"/>
      <c r="I86" s="14"/>
    </row>
    <row r="87">
      <c r="A87" s="35"/>
      <c r="B87" s="35"/>
      <c r="C87" s="35"/>
      <c r="D87" s="100">
        <v>8.0</v>
      </c>
      <c r="E87" s="100">
        <v>3.0</v>
      </c>
      <c r="F87" s="35"/>
      <c r="G87" s="14"/>
      <c r="H87" s="14"/>
      <c r="I87" s="14"/>
    </row>
    <row r="88">
      <c r="A88" s="35"/>
      <c r="B88" s="35"/>
      <c r="C88" s="35"/>
      <c r="D88" s="100">
        <v>13.0</v>
      </c>
      <c r="E88" s="100">
        <v>1.0</v>
      </c>
      <c r="F88" s="35"/>
      <c r="G88" s="14"/>
      <c r="H88" s="14"/>
      <c r="I88" s="14"/>
    </row>
    <row r="89">
      <c r="A89" s="35"/>
      <c r="B89" s="35"/>
      <c r="C89" s="35"/>
      <c r="D89" s="100">
        <v>10.0</v>
      </c>
      <c r="E89" s="100">
        <v>1.0</v>
      </c>
      <c r="F89" s="35"/>
      <c r="G89" s="14"/>
      <c r="H89" s="14"/>
      <c r="I89" s="14"/>
    </row>
    <row r="90">
      <c r="A90" s="35"/>
      <c r="B90" s="35"/>
      <c r="C90" s="35"/>
      <c r="D90" s="100">
        <v>8.0</v>
      </c>
      <c r="E90" s="100">
        <v>1.0</v>
      </c>
      <c r="F90" s="35"/>
      <c r="G90" s="14"/>
      <c r="H90" s="14"/>
      <c r="I90" s="14"/>
    </row>
    <row r="91">
      <c r="A91" s="35"/>
      <c r="B91" s="35"/>
      <c r="C91" s="35"/>
      <c r="D91" s="100">
        <v>5.0</v>
      </c>
      <c r="E91" s="100">
        <v>3.0</v>
      </c>
      <c r="F91" s="35"/>
      <c r="G91" s="14"/>
      <c r="H91" s="14"/>
      <c r="I91" s="14"/>
    </row>
    <row r="92">
      <c r="A92" s="35"/>
      <c r="B92" s="35"/>
      <c r="C92" s="35"/>
      <c r="D92" s="100">
        <v>6.0</v>
      </c>
      <c r="E92" s="100">
        <v>1.0</v>
      </c>
      <c r="F92" s="35"/>
      <c r="G92" s="14"/>
      <c r="H92" s="14"/>
      <c r="I92" s="14"/>
    </row>
    <row r="93">
      <c r="A93" s="35"/>
      <c r="B93" s="35"/>
      <c r="C93" s="35"/>
      <c r="D93" s="100">
        <v>11.0</v>
      </c>
      <c r="E93" s="100">
        <v>1.0</v>
      </c>
      <c r="F93" s="35"/>
      <c r="G93" s="14"/>
      <c r="H93" s="14"/>
      <c r="I93" s="14"/>
    </row>
    <row r="94">
      <c r="A94" s="35"/>
      <c r="B94" s="35"/>
      <c r="C94" s="35"/>
      <c r="D94" s="100">
        <v>12.0</v>
      </c>
      <c r="E94" s="100">
        <v>1.0</v>
      </c>
      <c r="F94" s="35"/>
      <c r="G94" s="14"/>
      <c r="H94" s="14"/>
      <c r="I94" s="14"/>
    </row>
    <row r="95">
      <c r="A95" s="35"/>
      <c r="B95" s="35"/>
      <c r="C95" s="35"/>
      <c r="D95" s="100">
        <v>11.0</v>
      </c>
      <c r="E95" s="100">
        <v>1.0</v>
      </c>
      <c r="F95" s="35"/>
      <c r="G95" s="14"/>
      <c r="H95" s="14"/>
      <c r="I95" s="14"/>
    </row>
    <row r="96">
      <c r="A96" s="35"/>
      <c r="B96" s="35"/>
      <c r="C96" s="35"/>
      <c r="D96" s="100">
        <v>10.0</v>
      </c>
      <c r="E96" s="100">
        <v>2.0</v>
      </c>
      <c r="F96" s="35"/>
      <c r="G96" s="14"/>
      <c r="H96" s="14"/>
      <c r="I96" s="14"/>
    </row>
    <row r="97">
      <c r="A97" s="35"/>
      <c r="B97" s="35"/>
      <c r="C97" s="35"/>
      <c r="D97" s="100">
        <v>3.0</v>
      </c>
      <c r="E97" s="100">
        <v>1.0</v>
      </c>
      <c r="F97" s="35"/>
      <c r="G97" s="14"/>
      <c r="H97" s="14"/>
      <c r="I97" s="14"/>
    </row>
    <row r="98">
      <c r="A98" s="35"/>
      <c r="B98" s="35"/>
      <c r="C98" s="35"/>
      <c r="D98" s="100">
        <v>11.0</v>
      </c>
      <c r="E98" s="100">
        <v>1.0</v>
      </c>
      <c r="F98" s="35"/>
      <c r="G98" s="14"/>
      <c r="H98" s="14"/>
      <c r="I98" s="14"/>
    </row>
    <row r="99">
      <c r="A99" s="35"/>
      <c r="B99" s="35"/>
      <c r="C99" s="35"/>
      <c r="D99" s="100">
        <v>12.0</v>
      </c>
      <c r="E99" s="100">
        <v>2.0</v>
      </c>
      <c r="F99" s="35"/>
      <c r="G99" s="14"/>
      <c r="H99" s="14"/>
      <c r="I99" s="14"/>
    </row>
    <row r="100">
      <c r="A100" s="35"/>
      <c r="B100" s="35"/>
      <c r="C100" s="35"/>
      <c r="D100" s="100">
        <v>12.0</v>
      </c>
      <c r="E100" s="100">
        <v>1.0</v>
      </c>
      <c r="F100" s="35"/>
      <c r="G100" s="14"/>
      <c r="H100" s="14"/>
      <c r="I100" s="14"/>
    </row>
    <row r="101">
      <c r="A101" s="35"/>
      <c r="B101" s="35"/>
      <c r="C101" s="35"/>
      <c r="D101" s="100">
        <v>6.0</v>
      </c>
      <c r="E101" s="100">
        <v>1.0</v>
      </c>
      <c r="F101" s="35"/>
      <c r="G101" s="14"/>
      <c r="H101" s="14"/>
      <c r="I101" s="14"/>
    </row>
    <row r="102">
      <c r="A102" s="35"/>
      <c r="B102" s="35"/>
      <c r="C102" s="35"/>
      <c r="D102" s="100">
        <v>2.0</v>
      </c>
      <c r="E102" s="100">
        <v>1.0</v>
      </c>
      <c r="F102" s="35"/>
      <c r="G102" s="14"/>
      <c r="H102" s="14"/>
      <c r="I102" s="14"/>
    </row>
    <row r="103">
      <c r="A103" s="35"/>
      <c r="B103" s="35"/>
      <c r="C103" s="35"/>
      <c r="D103" s="100">
        <v>6.0</v>
      </c>
      <c r="E103" s="100">
        <v>1.0</v>
      </c>
      <c r="F103" s="35"/>
      <c r="G103" s="14"/>
      <c r="H103" s="14"/>
      <c r="I103" s="14"/>
    </row>
    <row r="104">
      <c r="A104" s="35"/>
      <c r="B104" s="35"/>
      <c r="C104" s="35"/>
      <c r="D104" s="100">
        <v>5.0</v>
      </c>
      <c r="E104" s="100">
        <v>1.0</v>
      </c>
      <c r="F104" s="35"/>
      <c r="G104" s="14"/>
      <c r="H104" s="14"/>
      <c r="I104" s="14"/>
    </row>
    <row r="105">
      <c r="A105" s="35"/>
      <c r="B105" s="35"/>
      <c r="C105" s="35"/>
      <c r="D105" s="100">
        <v>8.0</v>
      </c>
      <c r="E105" s="100">
        <v>1.0</v>
      </c>
      <c r="F105" s="35"/>
      <c r="G105" s="14"/>
      <c r="H105" s="14"/>
      <c r="I105" s="14"/>
    </row>
    <row r="106">
      <c r="A106" s="35"/>
      <c r="B106" s="35"/>
      <c r="C106" s="35"/>
      <c r="D106" s="100">
        <v>11.0</v>
      </c>
      <c r="E106" s="100">
        <v>2.0</v>
      </c>
      <c r="F106" s="35"/>
      <c r="G106" s="14"/>
      <c r="H106" s="14"/>
      <c r="I106" s="14"/>
    </row>
    <row r="107">
      <c r="A107" s="35"/>
      <c r="B107" s="35"/>
      <c r="C107" s="35"/>
      <c r="D107" s="100">
        <v>9.0</v>
      </c>
      <c r="E107" s="100">
        <v>1.0</v>
      </c>
      <c r="F107" s="35"/>
      <c r="G107" s="14">
        <f>count(D85:D107)</f>
        <v>23</v>
      </c>
      <c r="H107" s="14">
        <f t="shared" ref="H107:I107" si="4">average(D85:D107)</f>
        <v>8.565217391</v>
      </c>
      <c r="I107" s="14">
        <f t="shared" si="4"/>
        <v>1.47826087</v>
      </c>
    </row>
    <row r="108">
      <c r="A108" s="28">
        <v>8.0</v>
      </c>
      <c r="B108" s="35"/>
      <c r="C108" s="28" t="s">
        <v>110</v>
      </c>
      <c r="D108" s="100">
        <v>7.0</v>
      </c>
      <c r="E108" s="100">
        <v>1.0</v>
      </c>
      <c r="F108" s="35"/>
      <c r="G108" s="14"/>
      <c r="H108" s="14"/>
      <c r="I108" s="14"/>
    </row>
    <row r="109">
      <c r="A109" s="35"/>
      <c r="B109" s="35"/>
      <c r="C109" s="35"/>
      <c r="D109" s="100">
        <v>12.0</v>
      </c>
      <c r="E109" s="100">
        <v>1.0</v>
      </c>
      <c r="F109" s="35"/>
      <c r="G109" s="14"/>
      <c r="H109" s="14"/>
      <c r="I109" s="14"/>
    </row>
    <row r="110">
      <c r="A110" s="35"/>
      <c r="B110" s="35"/>
      <c r="C110" s="35"/>
      <c r="D110" s="100">
        <v>9.0</v>
      </c>
      <c r="E110" s="100">
        <v>1.0</v>
      </c>
      <c r="F110" s="35"/>
      <c r="G110" s="14"/>
      <c r="H110" s="14"/>
      <c r="I110" s="14"/>
    </row>
    <row r="111">
      <c r="A111" s="35"/>
      <c r="B111" s="35"/>
      <c r="C111" s="35"/>
      <c r="D111" s="100">
        <v>13.0</v>
      </c>
      <c r="E111" s="100">
        <v>1.0</v>
      </c>
      <c r="F111" s="35"/>
      <c r="G111" s="14"/>
      <c r="H111" s="14"/>
      <c r="I111" s="14"/>
    </row>
    <row r="112">
      <c r="A112" s="35"/>
      <c r="B112" s="35"/>
      <c r="C112" s="35"/>
      <c r="D112" s="100">
        <v>3.0</v>
      </c>
      <c r="E112" s="100">
        <v>1.0</v>
      </c>
      <c r="F112" s="35"/>
      <c r="G112" s="14"/>
      <c r="H112" s="14"/>
      <c r="I112" s="14"/>
    </row>
    <row r="113">
      <c r="A113" s="35"/>
      <c r="B113" s="35"/>
      <c r="C113" s="35"/>
      <c r="D113" s="100">
        <v>5.0</v>
      </c>
      <c r="E113" s="100">
        <v>1.0</v>
      </c>
      <c r="F113" s="35"/>
      <c r="G113" s="14"/>
      <c r="H113" s="14"/>
      <c r="I113" s="14"/>
    </row>
    <row r="114">
      <c r="A114" s="35"/>
      <c r="B114" s="35"/>
      <c r="C114" s="35"/>
      <c r="D114" s="100">
        <v>6.0</v>
      </c>
      <c r="E114" s="100">
        <v>1.0</v>
      </c>
      <c r="F114" s="35"/>
      <c r="G114" s="14"/>
      <c r="H114" s="14"/>
      <c r="I114" s="14"/>
    </row>
    <row r="115">
      <c r="A115" s="35"/>
      <c r="B115" s="35"/>
      <c r="C115" s="35"/>
      <c r="D115" s="100">
        <v>7.0</v>
      </c>
      <c r="E115" s="100">
        <v>1.0</v>
      </c>
      <c r="F115" s="35"/>
      <c r="G115" s="14"/>
      <c r="H115" s="14"/>
      <c r="I115" s="14"/>
    </row>
    <row r="116">
      <c r="A116" s="35"/>
      <c r="B116" s="35"/>
      <c r="C116" s="35"/>
      <c r="D116" s="100">
        <v>3.0</v>
      </c>
      <c r="E116" s="100">
        <v>1.0</v>
      </c>
      <c r="F116" s="35"/>
      <c r="G116" s="14">
        <f>count(D108:D116)</f>
        <v>9</v>
      </c>
      <c r="H116" s="14">
        <f t="shared" ref="H116:I116" si="5">average(D108:D116)</f>
        <v>7.222222222</v>
      </c>
      <c r="I116" s="14">
        <f t="shared" si="5"/>
        <v>1</v>
      </c>
    </row>
    <row r="117">
      <c r="A117" s="28">
        <v>9.0</v>
      </c>
      <c r="B117" s="35"/>
      <c r="C117" s="28" t="s">
        <v>110</v>
      </c>
      <c r="D117" s="100">
        <v>6.0</v>
      </c>
      <c r="E117" s="100">
        <v>2.0</v>
      </c>
      <c r="F117" s="35"/>
      <c r="G117" s="14"/>
      <c r="H117" s="14"/>
      <c r="I117" s="14"/>
    </row>
    <row r="118">
      <c r="A118" s="35"/>
      <c r="B118" s="35"/>
      <c r="C118" s="35"/>
      <c r="D118" s="100">
        <v>5.0</v>
      </c>
      <c r="E118" s="100">
        <v>1.0</v>
      </c>
      <c r="F118" s="35"/>
      <c r="G118" s="14"/>
      <c r="H118" s="14"/>
      <c r="I118" s="14"/>
    </row>
    <row r="119">
      <c r="A119" s="35"/>
      <c r="B119" s="35"/>
      <c r="C119" s="35"/>
      <c r="D119" s="100">
        <v>4.0</v>
      </c>
      <c r="E119" s="100">
        <v>1.0</v>
      </c>
      <c r="F119" s="35"/>
      <c r="G119" s="14"/>
      <c r="H119" s="14"/>
      <c r="I119" s="14"/>
    </row>
    <row r="120">
      <c r="A120" s="35"/>
      <c r="B120" s="35"/>
      <c r="C120" s="35"/>
      <c r="D120" s="100">
        <v>4.0</v>
      </c>
      <c r="E120" s="100">
        <v>1.0</v>
      </c>
      <c r="F120" s="35"/>
      <c r="G120" s="14"/>
      <c r="H120" s="14"/>
      <c r="I120" s="14"/>
    </row>
    <row r="121">
      <c r="A121" s="35"/>
      <c r="B121" s="35"/>
      <c r="C121" s="35"/>
      <c r="D121" s="100">
        <v>2.0</v>
      </c>
      <c r="E121" s="100">
        <v>1.0</v>
      </c>
      <c r="F121" s="35"/>
      <c r="G121" s="14"/>
      <c r="H121" s="14"/>
      <c r="I121" s="14"/>
    </row>
    <row r="122">
      <c r="A122" s="35"/>
      <c r="B122" s="35"/>
      <c r="C122" s="35"/>
      <c r="D122" s="100">
        <v>3.0</v>
      </c>
      <c r="E122" s="100">
        <v>1.0</v>
      </c>
      <c r="F122" s="35"/>
      <c r="G122" s="14"/>
      <c r="H122" s="14"/>
      <c r="I122" s="14"/>
    </row>
    <row r="123">
      <c r="A123" s="35"/>
      <c r="B123" s="35"/>
      <c r="C123" s="35"/>
      <c r="D123" s="100">
        <v>3.0</v>
      </c>
      <c r="E123" s="100">
        <v>1.0</v>
      </c>
      <c r="F123" s="35"/>
      <c r="G123" s="14"/>
      <c r="H123" s="14"/>
      <c r="I123" s="14"/>
    </row>
    <row r="124">
      <c r="A124" s="35"/>
      <c r="B124" s="35"/>
      <c r="C124" s="35"/>
      <c r="D124" s="100">
        <v>3.0</v>
      </c>
      <c r="E124" s="100">
        <v>1.0</v>
      </c>
      <c r="F124" s="35"/>
      <c r="G124" s="14"/>
      <c r="H124" s="14"/>
      <c r="I124" s="14"/>
    </row>
    <row r="125">
      <c r="A125" s="35"/>
      <c r="B125" s="35"/>
      <c r="C125" s="35"/>
      <c r="D125" s="100">
        <v>5.0</v>
      </c>
      <c r="E125" s="100">
        <v>1.0</v>
      </c>
      <c r="F125" s="35"/>
      <c r="G125" s="14"/>
      <c r="H125" s="14"/>
      <c r="I125" s="14"/>
    </row>
    <row r="126">
      <c r="A126" s="35"/>
      <c r="B126" s="35"/>
      <c r="C126" s="35"/>
      <c r="D126" s="100">
        <v>4.0</v>
      </c>
      <c r="E126" s="100">
        <v>1.0</v>
      </c>
      <c r="F126" s="35"/>
      <c r="G126" s="14"/>
      <c r="H126" s="14"/>
      <c r="I126" s="14"/>
    </row>
    <row r="127">
      <c r="A127" s="35"/>
      <c r="B127" s="35"/>
      <c r="C127" s="35"/>
      <c r="D127" s="100">
        <v>3.0</v>
      </c>
      <c r="E127" s="100">
        <v>1.0</v>
      </c>
      <c r="F127" s="35"/>
      <c r="G127" s="14"/>
      <c r="H127" s="14"/>
      <c r="I127" s="14"/>
    </row>
    <row r="128">
      <c r="A128" s="35"/>
      <c r="B128" s="35"/>
      <c r="C128" s="35"/>
      <c r="D128" s="100">
        <v>4.0</v>
      </c>
      <c r="E128" s="100">
        <v>1.0</v>
      </c>
      <c r="F128" s="35"/>
      <c r="G128" s="14"/>
      <c r="H128" s="14"/>
      <c r="I128" s="14"/>
    </row>
    <row r="129">
      <c r="A129" s="35"/>
      <c r="B129" s="35"/>
      <c r="C129" s="35"/>
      <c r="D129" s="100">
        <v>4.0</v>
      </c>
      <c r="E129" s="100">
        <v>1.0</v>
      </c>
      <c r="F129" s="35"/>
      <c r="G129" s="14"/>
      <c r="H129" s="14"/>
      <c r="I129" s="14"/>
    </row>
    <row r="130">
      <c r="A130" s="35"/>
      <c r="B130" s="35"/>
      <c r="C130" s="35"/>
      <c r="D130" s="100">
        <v>5.0</v>
      </c>
      <c r="E130" s="100">
        <v>1.0</v>
      </c>
      <c r="F130" s="35"/>
      <c r="G130" s="14"/>
      <c r="H130" s="14"/>
      <c r="I130" s="14"/>
    </row>
    <row r="131">
      <c r="A131" s="35"/>
      <c r="B131" s="35"/>
      <c r="C131" s="35"/>
      <c r="D131" s="100">
        <v>4.0</v>
      </c>
      <c r="E131" s="100">
        <v>1.0</v>
      </c>
      <c r="F131" s="35"/>
      <c r="G131" s="14"/>
      <c r="H131" s="14"/>
      <c r="I131" s="14"/>
    </row>
    <row r="132">
      <c r="A132" s="35"/>
      <c r="B132" s="35"/>
      <c r="C132" s="35"/>
      <c r="D132" s="100">
        <v>2.0</v>
      </c>
      <c r="E132" s="100">
        <v>1.0</v>
      </c>
      <c r="F132" s="35"/>
      <c r="G132" s="14"/>
      <c r="H132" s="14"/>
      <c r="I132" s="14"/>
    </row>
    <row r="133">
      <c r="A133" s="35"/>
      <c r="B133" s="35"/>
      <c r="C133" s="35"/>
      <c r="D133" s="100">
        <v>1.0</v>
      </c>
      <c r="E133" s="100">
        <v>1.0</v>
      </c>
      <c r="F133" s="35"/>
      <c r="G133" s="14"/>
      <c r="H133" s="14"/>
      <c r="I133" s="14"/>
    </row>
    <row r="134">
      <c r="A134" s="35"/>
      <c r="B134" s="35"/>
      <c r="C134" s="35"/>
      <c r="D134" s="100">
        <v>2.0</v>
      </c>
      <c r="E134" s="100">
        <v>1.0</v>
      </c>
      <c r="F134" s="35"/>
      <c r="G134" s="14"/>
      <c r="H134" s="14"/>
      <c r="I134" s="14"/>
    </row>
    <row r="135">
      <c r="A135" s="35"/>
      <c r="B135" s="35"/>
      <c r="C135" s="35"/>
      <c r="D135" s="100">
        <v>2.0</v>
      </c>
      <c r="E135" s="100">
        <v>1.0</v>
      </c>
      <c r="F135" s="35"/>
      <c r="G135" s="14"/>
      <c r="H135" s="14"/>
      <c r="I135" s="14"/>
    </row>
    <row r="136">
      <c r="A136" s="35"/>
      <c r="B136" s="35"/>
      <c r="C136" s="35"/>
      <c r="D136" s="100">
        <v>2.0</v>
      </c>
      <c r="E136" s="100">
        <v>1.0</v>
      </c>
      <c r="F136" s="35"/>
      <c r="G136" s="14"/>
      <c r="H136" s="14"/>
      <c r="I136" s="14"/>
    </row>
    <row r="137">
      <c r="A137" s="35"/>
      <c r="B137" s="35"/>
      <c r="C137" s="35"/>
      <c r="D137" s="100">
        <v>2.0</v>
      </c>
      <c r="E137" s="100">
        <v>1.0</v>
      </c>
      <c r="F137" s="35"/>
      <c r="G137" s="14">
        <f>count(D117:D137)</f>
        <v>21</v>
      </c>
      <c r="H137" s="14">
        <f t="shared" ref="H137:I137" si="6">average(D117:D137)</f>
        <v>3.333333333</v>
      </c>
      <c r="I137" s="14">
        <f t="shared" si="6"/>
        <v>1.047619048</v>
      </c>
    </row>
    <row r="138">
      <c r="A138" s="28">
        <v>10.0</v>
      </c>
      <c r="B138" s="35"/>
      <c r="C138" s="28" t="s">
        <v>110</v>
      </c>
      <c r="D138" s="100">
        <v>5.0</v>
      </c>
      <c r="E138" s="100">
        <v>1.0</v>
      </c>
      <c r="F138" s="35"/>
      <c r="G138" s="14"/>
      <c r="H138" s="14"/>
      <c r="I138" s="14"/>
    </row>
    <row r="139">
      <c r="A139" s="35"/>
      <c r="B139" s="35"/>
      <c r="C139" s="35"/>
      <c r="D139" s="100">
        <v>3.0</v>
      </c>
      <c r="E139" s="100">
        <v>1.0</v>
      </c>
      <c r="F139" s="35"/>
      <c r="G139" s="14"/>
      <c r="H139" s="14"/>
      <c r="I139" s="14"/>
    </row>
    <row r="140">
      <c r="A140" s="35"/>
      <c r="B140" s="35"/>
      <c r="C140" s="35"/>
      <c r="D140" s="100">
        <v>2.0</v>
      </c>
      <c r="E140" s="100">
        <v>1.0</v>
      </c>
      <c r="F140" s="35"/>
      <c r="G140" s="14"/>
      <c r="H140" s="14"/>
      <c r="I140" s="14"/>
    </row>
    <row r="141">
      <c r="A141" s="35"/>
      <c r="B141" s="35"/>
      <c r="C141" s="35"/>
      <c r="D141" s="100">
        <v>2.0</v>
      </c>
      <c r="E141" s="100">
        <v>1.0</v>
      </c>
      <c r="F141" s="35"/>
      <c r="G141" s="14"/>
      <c r="H141" s="14"/>
      <c r="I141" s="14"/>
    </row>
    <row r="142">
      <c r="A142" s="35"/>
      <c r="B142" s="35"/>
      <c r="C142" s="35"/>
      <c r="D142" s="100">
        <v>5.0</v>
      </c>
      <c r="E142" s="100">
        <v>2.0</v>
      </c>
      <c r="F142" s="35"/>
      <c r="G142" s="14"/>
      <c r="H142" s="14"/>
      <c r="I142" s="14"/>
    </row>
    <row r="143">
      <c r="A143" s="35"/>
      <c r="B143" s="35"/>
      <c r="C143" s="35"/>
      <c r="D143" s="100">
        <v>2.0</v>
      </c>
      <c r="E143" s="100">
        <v>1.0</v>
      </c>
      <c r="F143" s="35"/>
      <c r="G143" s="14"/>
      <c r="H143" s="14"/>
      <c r="I143" s="14"/>
    </row>
    <row r="144">
      <c r="A144" s="35"/>
      <c r="B144" s="35"/>
      <c r="C144" s="35"/>
      <c r="D144" s="100">
        <v>2.0</v>
      </c>
      <c r="E144" s="100">
        <v>1.0</v>
      </c>
      <c r="F144" s="35"/>
      <c r="G144" s="14"/>
      <c r="H144" s="14"/>
      <c r="I144" s="14"/>
    </row>
    <row r="145">
      <c r="A145" s="35"/>
      <c r="B145" s="35"/>
      <c r="C145" s="35"/>
      <c r="D145" s="100">
        <v>5.0</v>
      </c>
      <c r="E145" s="100">
        <v>1.0</v>
      </c>
      <c r="F145" s="35"/>
      <c r="G145" s="14"/>
      <c r="H145" s="14"/>
      <c r="I145" s="14"/>
    </row>
    <row r="146">
      <c r="A146" s="35"/>
      <c r="B146" s="35"/>
      <c r="C146" s="35"/>
      <c r="D146" s="100">
        <v>4.0</v>
      </c>
      <c r="E146" s="100">
        <v>1.0</v>
      </c>
      <c r="F146" s="35"/>
      <c r="G146" s="14"/>
      <c r="H146" s="14"/>
      <c r="I146" s="14"/>
    </row>
    <row r="147">
      <c r="A147" s="35"/>
      <c r="B147" s="35"/>
      <c r="C147" s="35"/>
      <c r="D147" s="100">
        <v>1.0</v>
      </c>
      <c r="E147" s="100">
        <v>1.0</v>
      </c>
      <c r="F147" s="35"/>
      <c r="G147" s="14"/>
      <c r="H147" s="14"/>
      <c r="I147" s="14"/>
    </row>
    <row r="148">
      <c r="A148" s="35"/>
      <c r="B148" s="35"/>
      <c r="C148" s="35"/>
      <c r="D148" s="100">
        <v>1.0</v>
      </c>
      <c r="E148" s="100">
        <v>1.0</v>
      </c>
      <c r="F148" s="35"/>
      <c r="G148" s="14"/>
      <c r="H148" s="14"/>
      <c r="I148" s="14"/>
    </row>
    <row r="149">
      <c r="A149" s="35"/>
      <c r="B149" s="35"/>
      <c r="C149" s="35"/>
      <c r="D149" s="100">
        <v>5.0</v>
      </c>
      <c r="E149" s="100">
        <v>1.0</v>
      </c>
      <c r="F149" s="35"/>
      <c r="G149" s="14"/>
      <c r="H149" s="14"/>
      <c r="I149" s="14"/>
    </row>
    <row r="150">
      <c r="A150" s="35"/>
      <c r="B150" s="35"/>
      <c r="C150" s="35"/>
      <c r="D150" s="100">
        <v>6.0</v>
      </c>
      <c r="E150" s="100">
        <v>1.0</v>
      </c>
      <c r="F150" s="35"/>
      <c r="G150" s="14"/>
      <c r="H150" s="14"/>
      <c r="I150" s="14"/>
    </row>
    <row r="151">
      <c r="A151" s="35"/>
      <c r="B151" s="35"/>
      <c r="C151" s="35"/>
      <c r="D151" s="100">
        <v>5.0</v>
      </c>
      <c r="E151" s="100">
        <v>1.0</v>
      </c>
      <c r="F151" s="35"/>
      <c r="G151" s="14"/>
      <c r="H151" s="14"/>
      <c r="I151" s="14"/>
    </row>
    <row r="152">
      <c r="A152" s="35"/>
      <c r="B152" s="35"/>
      <c r="C152" s="35"/>
      <c r="D152" s="100">
        <v>4.0</v>
      </c>
      <c r="E152" s="100">
        <v>1.0</v>
      </c>
      <c r="F152" s="35"/>
      <c r="G152" s="14"/>
      <c r="H152" s="14"/>
      <c r="I152" s="14"/>
    </row>
    <row r="153">
      <c r="A153" s="35"/>
      <c r="B153" s="35"/>
      <c r="C153" s="35"/>
      <c r="D153" s="100">
        <v>2.0</v>
      </c>
      <c r="E153" s="100">
        <v>1.0</v>
      </c>
      <c r="F153" s="35"/>
      <c r="G153" s="14"/>
      <c r="H153" s="14"/>
      <c r="I153" s="14"/>
    </row>
    <row r="154">
      <c r="A154" s="35"/>
      <c r="B154" s="35"/>
      <c r="C154" s="35"/>
      <c r="D154" s="100">
        <v>4.0</v>
      </c>
      <c r="E154" s="100">
        <v>1.0</v>
      </c>
      <c r="F154" s="35"/>
      <c r="G154" s="14"/>
      <c r="H154" s="14"/>
      <c r="I154" s="14"/>
    </row>
    <row r="155">
      <c r="A155" s="35"/>
      <c r="B155" s="35"/>
      <c r="C155" s="35"/>
      <c r="D155" s="100">
        <v>3.0</v>
      </c>
      <c r="E155" s="100">
        <v>1.0</v>
      </c>
      <c r="F155" s="35"/>
      <c r="G155" s="14"/>
      <c r="H155" s="14"/>
      <c r="I155" s="14"/>
    </row>
    <row r="156">
      <c r="A156" s="35"/>
      <c r="B156" s="35"/>
      <c r="C156" s="35"/>
      <c r="D156" s="100">
        <v>4.0</v>
      </c>
      <c r="E156" s="100">
        <v>1.0</v>
      </c>
      <c r="F156" s="35"/>
      <c r="G156" s="14"/>
      <c r="H156" s="14"/>
      <c r="I156" s="14"/>
    </row>
    <row r="157">
      <c r="A157" s="35"/>
      <c r="B157" s="35"/>
      <c r="C157" s="35"/>
      <c r="D157" s="100">
        <v>3.0</v>
      </c>
      <c r="E157" s="100">
        <v>1.0</v>
      </c>
      <c r="F157" s="35"/>
      <c r="G157" s="14"/>
      <c r="H157" s="14"/>
      <c r="I157" s="14"/>
    </row>
    <row r="158">
      <c r="A158" s="35"/>
      <c r="B158" s="35"/>
      <c r="C158" s="35"/>
      <c r="D158" s="100">
        <v>4.0</v>
      </c>
      <c r="E158" s="100">
        <v>1.0</v>
      </c>
      <c r="F158" s="35"/>
      <c r="G158" s="14"/>
      <c r="H158" s="14"/>
      <c r="I158" s="14"/>
    </row>
    <row r="159">
      <c r="A159" s="35"/>
      <c r="B159" s="35"/>
      <c r="C159" s="35"/>
      <c r="D159" s="100">
        <v>5.0</v>
      </c>
      <c r="E159" s="100">
        <v>1.0</v>
      </c>
      <c r="F159" s="35"/>
      <c r="G159" s="14"/>
      <c r="H159" s="14"/>
      <c r="I159" s="14"/>
    </row>
    <row r="160">
      <c r="A160" s="35"/>
      <c r="B160" s="35"/>
      <c r="C160" s="35"/>
      <c r="D160" s="100">
        <v>2.0</v>
      </c>
      <c r="E160" s="100">
        <v>1.0</v>
      </c>
      <c r="F160" s="35"/>
      <c r="G160" s="14"/>
      <c r="H160" s="14"/>
      <c r="I160" s="14"/>
    </row>
    <row r="161">
      <c r="A161" s="35"/>
      <c r="B161" s="35"/>
      <c r="C161" s="35"/>
      <c r="D161" s="100">
        <v>6.0</v>
      </c>
      <c r="E161" s="100">
        <v>1.0</v>
      </c>
      <c r="F161" s="35"/>
      <c r="G161" s="14"/>
      <c r="H161" s="14"/>
      <c r="I161" s="14"/>
    </row>
    <row r="162">
      <c r="A162" s="35"/>
      <c r="B162" s="35"/>
      <c r="C162" s="35"/>
      <c r="D162" s="100">
        <v>2.0</v>
      </c>
      <c r="E162" s="100">
        <v>1.0</v>
      </c>
      <c r="F162" s="35"/>
      <c r="G162" s="14"/>
      <c r="H162" s="14"/>
      <c r="I162" s="14"/>
    </row>
    <row r="163">
      <c r="A163" s="35"/>
      <c r="B163" s="35"/>
      <c r="C163" s="35"/>
      <c r="D163" s="100">
        <v>2.0</v>
      </c>
      <c r="E163" s="100">
        <v>1.0</v>
      </c>
      <c r="F163" s="35"/>
      <c r="G163" s="14"/>
      <c r="H163" s="14"/>
      <c r="I163" s="14"/>
    </row>
    <row r="164">
      <c r="A164" s="35"/>
      <c r="B164" s="35"/>
      <c r="C164" s="35"/>
      <c r="D164" s="100">
        <v>4.0</v>
      </c>
      <c r="E164" s="100">
        <v>1.0</v>
      </c>
      <c r="F164" s="35"/>
      <c r="G164" s="14">
        <f>count(D138:D164)</f>
        <v>27</v>
      </c>
      <c r="H164" s="14">
        <f t="shared" ref="H164:I164" si="7">average(D138:D164)</f>
        <v>3.444444444</v>
      </c>
      <c r="I164" s="14">
        <f t="shared" si="7"/>
        <v>1.037037037</v>
      </c>
    </row>
    <row r="165">
      <c r="A165" s="28">
        <v>11.0</v>
      </c>
      <c r="B165" s="35"/>
      <c r="C165" s="28" t="s">
        <v>110</v>
      </c>
      <c r="D165" s="28">
        <v>4.0</v>
      </c>
      <c r="E165" s="28">
        <v>1.0</v>
      </c>
      <c r="F165" s="35"/>
      <c r="G165" s="14"/>
      <c r="H165" s="14"/>
      <c r="I165" s="14"/>
    </row>
    <row r="166">
      <c r="A166" s="35"/>
      <c r="B166" s="35"/>
      <c r="C166" s="35"/>
      <c r="D166" s="100">
        <v>2.0</v>
      </c>
      <c r="E166" s="100">
        <v>1.0</v>
      </c>
      <c r="F166" s="35"/>
      <c r="G166" s="14"/>
      <c r="H166" s="14"/>
      <c r="I166" s="14"/>
    </row>
    <row r="167">
      <c r="A167" s="35"/>
      <c r="B167" s="35"/>
      <c r="C167" s="35"/>
      <c r="D167" s="100">
        <v>4.0</v>
      </c>
      <c r="E167" s="100">
        <v>1.0</v>
      </c>
      <c r="F167" s="35"/>
      <c r="G167" s="14"/>
      <c r="H167" s="14"/>
      <c r="I167" s="14"/>
    </row>
    <row r="168">
      <c r="A168" s="35"/>
      <c r="B168" s="35"/>
      <c r="C168" s="35"/>
      <c r="D168" s="100">
        <v>3.0</v>
      </c>
      <c r="E168" s="100">
        <v>1.0</v>
      </c>
      <c r="F168" s="35"/>
      <c r="G168" s="14"/>
      <c r="H168" s="14"/>
      <c r="I168" s="14"/>
    </row>
    <row r="169">
      <c r="A169" s="35"/>
      <c r="B169" s="35"/>
      <c r="C169" s="35"/>
      <c r="D169" s="100">
        <v>3.0</v>
      </c>
      <c r="E169" s="100">
        <v>1.0</v>
      </c>
      <c r="F169" s="35"/>
      <c r="G169" s="14"/>
      <c r="H169" s="14"/>
      <c r="I169" s="14"/>
    </row>
    <row r="170">
      <c r="A170" s="35"/>
      <c r="B170" s="35"/>
      <c r="C170" s="35"/>
      <c r="D170" s="100">
        <v>7.0</v>
      </c>
      <c r="E170" s="100">
        <v>1.0</v>
      </c>
      <c r="F170" s="35"/>
      <c r="G170" s="14"/>
      <c r="H170" s="14"/>
      <c r="I170" s="14"/>
    </row>
    <row r="171">
      <c r="A171" s="35"/>
      <c r="B171" s="35"/>
      <c r="C171" s="35"/>
      <c r="D171" s="100">
        <v>6.0</v>
      </c>
      <c r="E171" s="100">
        <v>1.0</v>
      </c>
      <c r="F171" s="35"/>
      <c r="G171" s="14"/>
      <c r="H171" s="14"/>
      <c r="I171" s="14"/>
    </row>
    <row r="172">
      <c r="A172" s="35"/>
      <c r="B172" s="35"/>
      <c r="C172" s="35"/>
      <c r="D172" s="100">
        <v>6.0</v>
      </c>
      <c r="E172" s="100">
        <v>1.0</v>
      </c>
      <c r="F172" s="35"/>
      <c r="G172" s="14"/>
      <c r="H172" s="14"/>
      <c r="I172" s="14"/>
    </row>
    <row r="173">
      <c r="A173" s="35"/>
      <c r="B173" s="35"/>
      <c r="C173" s="35"/>
      <c r="D173" s="100">
        <v>6.0</v>
      </c>
      <c r="E173" s="100">
        <v>1.0</v>
      </c>
      <c r="F173" s="35"/>
      <c r="G173" s="14"/>
      <c r="H173" s="14"/>
      <c r="I173" s="14"/>
    </row>
    <row r="174">
      <c r="A174" s="35"/>
      <c r="B174" s="35"/>
      <c r="C174" s="35"/>
      <c r="D174" s="100">
        <v>6.0</v>
      </c>
      <c r="E174" s="100">
        <v>1.0</v>
      </c>
      <c r="F174" s="35"/>
      <c r="G174" s="14"/>
      <c r="H174" s="14"/>
      <c r="I174" s="14"/>
    </row>
    <row r="175">
      <c r="A175" s="35"/>
      <c r="B175" s="35"/>
      <c r="C175" s="35"/>
      <c r="D175" s="100">
        <v>3.0</v>
      </c>
      <c r="E175" s="100">
        <v>1.0</v>
      </c>
      <c r="F175" s="35"/>
      <c r="G175" s="14"/>
      <c r="H175" s="14"/>
      <c r="I175" s="14"/>
    </row>
    <row r="176">
      <c r="A176" s="35"/>
      <c r="B176" s="35"/>
      <c r="C176" s="35"/>
      <c r="D176" s="100">
        <v>3.0</v>
      </c>
      <c r="E176" s="100">
        <v>1.0</v>
      </c>
      <c r="F176" s="35"/>
      <c r="G176" s="14"/>
      <c r="H176" s="14"/>
      <c r="I176" s="14"/>
    </row>
    <row r="177">
      <c r="A177" s="35"/>
      <c r="B177" s="35"/>
      <c r="C177" s="35"/>
      <c r="D177" s="100">
        <v>5.0</v>
      </c>
      <c r="E177" s="100">
        <v>1.0</v>
      </c>
      <c r="F177" s="35"/>
      <c r="G177" s="14"/>
      <c r="H177" s="14"/>
      <c r="I177" s="14"/>
    </row>
    <row r="178">
      <c r="A178" s="35"/>
      <c r="B178" s="35"/>
      <c r="C178" s="35"/>
      <c r="D178" s="100">
        <v>10.0</v>
      </c>
      <c r="E178" s="100">
        <v>1.0</v>
      </c>
      <c r="F178" s="35"/>
      <c r="G178" s="14"/>
      <c r="H178" s="14"/>
      <c r="I178" s="14"/>
    </row>
    <row r="179">
      <c r="A179" s="35"/>
      <c r="B179" s="35"/>
      <c r="C179" s="35"/>
      <c r="D179" s="100">
        <v>4.0</v>
      </c>
      <c r="E179" s="100">
        <v>1.0</v>
      </c>
      <c r="F179" s="35"/>
      <c r="G179" s="14"/>
      <c r="H179" s="14"/>
      <c r="I179" s="14"/>
    </row>
    <row r="180">
      <c r="A180" s="35"/>
      <c r="B180" s="35"/>
      <c r="C180" s="35"/>
      <c r="D180" s="100">
        <v>7.0</v>
      </c>
      <c r="E180" s="100">
        <v>1.0</v>
      </c>
      <c r="F180" s="35"/>
      <c r="G180" s="14"/>
      <c r="H180" s="14"/>
      <c r="I180" s="14"/>
    </row>
    <row r="181">
      <c r="A181" s="35"/>
      <c r="B181" s="35"/>
      <c r="C181" s="35"/>
      <c r="D181" s="100">
        <v>4.0</v>
      </c>
      <c r="E181" s="100">
        <v>1.0</v>
      </c>
      <c r="F181" s="35"/>
      <c r="G181" s="14"/>
      <c r="H181" s="14"/>
      <c r="I181" s="14"/>
    </row>
    <row r="182">
      <c r="A182" s="35"/>
      <c r="B182" s="35"/>
      <c r="C182" s="35"/>
      <c r="D182" s="100">
        <v>6.0</v>
      </c>
      <c r="E182" s="100">
        <v>1.0</v>
      </c>
      <c r="F182" s="35"/>
      <c r="G182" s="14">
        <f>count(D165:D182)</f>
        <v>18</v>
      </c>
      <c r="H182" s="14">
        <f t="shared" ref="H182:I182" si="8">average(D165:D182)</f>
        <v>4.944444444</v>
      </c>
      <c r="I182" s="14">
        <f t="shared" si="8"/>
        <v>1</v>
      </c>
    </row>
    <row r="183">
      <c r="A183" s="28">
        <v>12.0</v>
      </c>
      <c r="B183" s="35"/>
      <c r="C183" s="28" t="s">
        <v>110</v>
      </c>
      <c r="D183" s="100">
        <v>2.0</v>
      </c>
      <c r="E183" s="100">
        <v>1.0</v>
      </c>
      <c r="F183" s="35"/>
      <c r="G183" s="14"/>
      <c r="H183" s="14"/>
      <c r="I183" s="14"/>
    </row>
    <row r="184">
      <c r="A184" s="28"/>
      <c r="B184" s="35"/>
      <c r="C184" s="35"/>
      <c r="D184" s="100">
        <v>6.0</v>
      </c>
      <c r="E184" s="100">
        <v>1.0</v>
      </c>
      <c r="F184" s="35"/>
      <c r="G184" s="14"/>
      <c r="H184" s="14"/>
      <c r="I184" s="14"/>
    </row>
    <row r="185">
      <c r="A185" s="35"/>
      <c r="B185" s="35"/>
      <c r="C185" s="35"/>
      <c r="D185" s="100">
        <v>5.0</v>
      </c>
      <c r="E185" s="100">
        <v>1.0</v>
      </c>
      <c r="F185" s="35"/>
      <c r="G185" s="14"/>
      <c r="H185" s="14"/>
      <c r="I185" s="14"/>
    </row>
    <row r="186">
      <c r="A186" s="35"/>
      <c r="B186" s="35"/>
      <c r="C186" s="35"/>
      <c r="D186" s="100">
        <v>5.0</v>
      </c>
      <c r="E186" s="100">
        <v>1.0</v>
      </c>
      <c r="F186" s="35"/>
      <c r="G186" s="14"/>
      <c r="H186" s="14"/>
      <c r="I186" s="14"/>
    </row>
    <row r="187">
      <c r="A187" s="35"/>
      <c r="B187" s="35"/>
      <c r="C187" s="35"/>
      <c r="D187" s="100">
        <v>5.0</v>
      </c>
      <c r="E187" s="100">
        <v>1.0</v>
      </c>
      <c r="F187" s="35"/>
      <c r="G187" s="14"/>
      <c r="H187" s="14"/>
      <c r="I187" s="14"/>
    </row>
    <row r="188">
      <c r="A188" s="35"/>
      <c r="B188" s="35"/>
      <c r="C188" s="35"/>
      <c r="D188" s="100">
        <v>4.0</v>
      </c>
      <c r="E188" s="100">
        <v>1.0</v>
      </c>
      <c r="F188" s="35"/>
      <c r="G188" s="14"/>
      <c r="H188" s="14"/>
      <c r="I188" s="14"/>
    </row>
    <row r="189">
      <c r="A189" s="35"/>
      <c r="B189" s="35"/>
      <c r="C189" s="35"/>
      <c r="D189" s="100">
        <v>3.0</v>
      </c>
      <c r="E189" s="100">
        <v>1.0</v>
      </c>
      <c r="F189" s="35"/>
      <c r="G189" s="14"/>
      <c r="H189" s="14"/>
      <c r="I189" s="14"/>
    </row>
    <row r="190">
      <c r="A190" s="35"/>
      <c r="B190" s="35"/>
      <c r="C190" s="35"/>
      <c r="D190" s="100">
        <v>7.0</v>
      </c>
      <c r="E190" s="100">
        <v>1.0</v>
      </c>
      <c r="F190" s="35"/>
      <c r="G190" s="14"/>
      <c r="H190" s="14"/>
      <c r="I190" s="14"/>
    </row>
    <row r="191">
      <c r="A191" s="35"/>
      <c r="B191" s="35"/>
      <c r="C191" s="35"/>
      <c r="D191" s="100">
        <v>9.0</v>
      </c>
      <c r="E191" s="100">
        <v>1.0</v>
      </c>
      <c r="F191" s="35"/>
      <c r="G191" s="14"/>
      <c r="H191" s="14"/>
      <c r="I191" s="14"/>
    </row>
    <row r="192">
      <c r="A192" s="35"/>
      <c r="B192" s="35"/>
      <c r="C192" s="35"/>
      <c r="D192" s="100">
        <v>4.0</v>
      </c>
      <c r="E192" s="100">
        <v>1.0</v>
      </c>
      <c r="F192" s="35"/>
      <c r="G192" s="14"/>
      <c r="H192" s="14"/>
      <c r="I192" s="14"/>
    </row>
    <row r="193">
      <c r="A193" s="35"/>
      <c r="B193" s="35"/>
      <c r="C193" s="35"/>
      <c r="D193" s="100">
        <v>8.0</v>
      </c>
      <c r="E193" s="100">
        <v>1.0</v>
      </c>
      <c r="F193" s="35"/>
      <c r="G193" s="14"/>
      <c r="H193" s="14"/>
      <c r="I193" s="14"/>
    </row>
    <row r="194">
      <c r="A194" s="35"/>
      <c r="B194" s="35"/>
      <c r="C194" s="35"/>
      <c r="D194" s="100">
        <v>10.0</v>
      </c>
      <c r="E194" s="100">
        <v>1.0</v>
      </c>
      <c r="F194" s="35"/>
      <c r="G194" s="14"/>
      <c r="H194" s="14"/>
      <c r="I194" s="14"/>
    </row>
    <row r="195">
      <c r="A195" s="35"/>
      <c r="B195" s="35"/>
      <c r="C195" s="35"/>
      <c r="D195" s="100">
        <v>4.0</v>
      </c>
      <c r="E195" s="100">
        <v>1.0</v>
      </c>
      <c r="F195" s="35"/>
      <c r="G195" s="14"/>
      <c r="H195" s="14"/>
      <c r="I195" s="14"/>
    </row>
    <row r="196">
      <c r="A196" s="35"/>
      <c r="B196" s="35"/>
      <c r="C196" s="35"/>
      <c r="D196" s="100">
        <v>4.0</v>
      </c>
      <c r="E196" s="100">
        <v>1.0</v>
      </c>
      <c r="F196" s="35"/>
      <c r="G196" s="14"/>
      <c r="H196" s="14"/>
      <c r="I196" s="14"/>
    </row>
    <row r="197">
      <c r="A197" s="35"/>
      <c r="B197" s="35"/>
      <c r="C197" s="35"/>
      <c r="D197" s="100">
        <v>9.0</v>
      </c>
      <c r="E197" s="100">
        <v>1.0</v>
      </c>
      <c r="F197" s="35"/>
      <c r="G197" s="14"/>
      <c r="H197" s="14"/>
      <c r="I197" s="14"/>
    </row>
    <row r="198">
      <c r="A198" s="35"/>
      <c r="B198" s="35"/>
      <c r="C198" s="35"/>
      <c r="D198" s="100">
        <v>7.0</v>
      </c>
      <c r="E198" s="100">
        <v>1.0</v>
      </c>
      <c r="F198" s="35"/>
      <c r="G198" s="14"/>
      <c r="H198" s="14"/>
      <c r="I198" s="14"/>
    </row>
    <row r="199">
      <c r="A199" s="35"/>
      <c r="B199" s="35"/>
      <c r="C199" s="35"/>
      <c r="D199" s="100">
        <v>7.0</v>
      </c>
      <c r="E199" s="100">
        <v>1.0</v>
      </c>
      <c r="F199" s="35"/>
      <c r="G199" s="14"/>
      <c r="H199" s="14"/>
      <c r="I199" s="14"/>
    </row>
    <row r="200">
      <c r="A200" s="35"/>
      <c r="B200" s="35"/>
      <c r="C200" s="35"/>
      <c r="D200" s="100">
        <v>9.0</v>
      </c>
      <c r="E200" s="100">
        <v>1.0</v>
      </c>
      <c r="F200" s="35"/>
      <c r="G200" s="14"/>
      <c r="H200" s="14"/>
      <c r="I200" s="14"/>
    </row>
    <row r="201">
      <c r="A201" s="35"/>
      <c r="B201" s="35"/>
      <c r="C201" s="35"/>
      <c r="D201" s="100">
        <v>10.0</v>
      </c>
      <c r="E201" s="100">
        <v>1.0</v>
      </c>
      <c r="F201" s="35"/>
      <c r="G201" s="14"/>
      <c r="H201" s="14"/>
      <c r="I201" s="14"/>
    </row>
    <row r="202">
      <c r="A202" s="35"/>
      <c r="B202" s="35"/>
      <c r="C202" s="35"/>
      <c r="D202" s="100">
        <v>2.0</v>
      </c>
      <c r="E202" s="100">
        <v>1.0</v>
      </c>
      <c r="F202" s="35"/>
      <c r="G202" s="14">
        <f>count(D183:D202)</f>
        <v>20</v>
      </c>
      <c r="H202" s="14">
        <f t="shared" ref="H202:I202" si="9">average(D183:D202)</f>
        <v>6</v>
      </c>
      <c r="I202" s="14">
        <f t="shared" si="9"/>
        <v>1</v>
      </c>
    </row>
    <row r="203">
      <c r="D203" s="104"/>
      <c r="E203" s="104"/>
      <c r="G203" s="14"/>
      <c r="H203" s="14"/>
      <c r="I203" s="14"/>
    </row>
    <row r="204">
      <c r="A204" s="36" t="s">
        <v>144</v>
      </c>
      <c r="G204" s="14"/>
      <c r="H204" s="14"/>
      <c r="I204" s="14"/>
    </row>
    <row r="205">
      <c r="A205" s="37" t="s">
        <v>263</v>
      </c>
      <c r="B205" s="38"/>
      <c r="C205" s="38"/>
      <c r="D205" s="38"/>
      <c r="E205" s="38"/>
      <c r="F205" s="39"/>
      <c r="G205" s="14"/>
      <c r="H205" s="14"/>
      <c r="I205" s="14"/>
    </row>
    <row r="206">
      <c r="A206" s="37" t="s">
        <v>366</v>
      </c>
      <c r="B206" s="38"/>
      <c r="C206" s="38"/>
      <c r="D206" s="38"/>
      <c r="E206" s="38"/>
      <c r="F206" s="39"/>
      <c r="G206" s="14"/>
      <c r="H206" s="14"/>
      <c r="I206" s="14"/>
    </row>
    <row r="207">
      <c r="A207" s="40"/>
      <c r="B207" s="41"/>
      <c r="C207" s="41"/>
      <c r="D207" s="41"/>
      <c r="E207" s="41"/>
      <c r="F207" s="42"/>
      <c r="G207" s="14"/>
      <c r="H207" s="14"/>
      <c r="I207" s="14"/>
    </row>
    <row r="208">
      <c r="A208" s="1" t="s">
        <v>0</v>
      </c>
      <c r="B208" s="1" t="s">
        <v>0</v>
      </c>
      <c r="C208" s="2" t="s">
        <v>375</v>
      </c>
      <c r="D208" s="2" t="s">
        <v>376</v>
      </c>
      <c r="E208" s="2" t="s">
        <v>377</v>
      </c>
      <c r="F208" s="6" t="s">
        <v>378</v>
      </c>
      <c r="G208" s="14"/>
      <c r="H208" s="14"/>
      <c r="I208" s="14"/>
    </row>
    <row r="209">
      <c r="A209" s="28">
        <v>1.0</v>
      </c>
      <c r="B209" s="28">
        <v>14.0</v>
      </c>
      <c r="C209" s="28" t="s">
        <v>111</v>
      </c>
      <c r="D209" s="100">
        <v>9.0</v>
      </c>
      <c r="E209" s="100">
        <v>1.0</v>
      </c>
      <c r="F209" s="35"/>
      <c r="G209" s="14"/>
      <c r="H209" s="14"/>
      <c r="I209" s="14"/>
    </row>
    <row r="210">
      <c r="A210" s="35"/>
      <c r="B210" s="35"/>
      <c r="C210" s="35"/>
      <c r="D210" s="100">
        <v>7.0</v>
      </c>
      <c r="E210" s="100">
        <v>1.0</v>
      </c>
      <c r="F210" s="35"/>
      <c r="G210" s="14"/>
      <c r="H210" s="14"/>
      <c r="I210" s="14"/>
    </row>
    <row r="211">
      <c r="A211" s="35"/>
      <c r="B211" s="35"/>
      <c r="C211" s="35"/>
      <c r="D211" s="100">
        <v>5.0</v>
      </c>
      <c r="E211" s="100">
        <v>1.0</v>
      </c>
      <c r="F211" s="35"/>
      <c r="G211" s="14"/>
      <c r="H211" s="14"/>
      <c r="I211" s="14"/>
    </row>
    <row r="212">
      <c r="A212" s="35"/>
      <c r="B212" s="35"/>
      <c r="C212" s="35"/>
      <c r="D212" s="100">
        <v>4.0</v>
      </c>
      <c r="E212" s="100">
        <v>1.0</v>
      </c>
      <c r="F212" s="35"/>
      <c r="G212" s="14"/>
      <c r="H212" s="14"/>
      <c r="I212" s="14"/>
    </row>
    <row r="213">
      <c r="A213" s="35"/>
      <c r="B213" s="35"/>
      <c r="C213" s="35"/>
      <c r="D213" s="100">
        <v>4.0</v>
      </c>
      <c r="E213" s="100">
        <v>1.0</v>
      </c>
      <c r="F213" s="35"/>
      <c r="G213" s="14"/>
      <c r="H213" s="14"/>
      <c r="I213" s="14"/>
    </row>
    <row r="214">
      <c r="A214" s="35"/>
      <c r="B214" s="35"/>
      <c r="C214" s="35"/>
      <c r="D214" s="100">
        <v>5.0</v>
      </c>
      <c r="E214" s="100">
        <v>1.0</v>
      </c>
      <c r="F214" s="35"/>
      <c r="G214" s="14"/>
      <c r="H214" s="14"/>
      <c r="I214" s="14"/>
    </row>
    <row r="215">
      <c r="A215" s="35"/>
      <c r="B215" s="35"/>
      <c r="C215" s="35"/>
      <c r="D215" s="100">
        <v>3.0</v>
      </c>
      <c r="E215" s="100">
        <v>1.0</v>
      </c>
      <c r="F215" s="35"/>
      <c r="G215" s="14"/>
      <c r="H215" s="14"/>
      <c r="I215" s="14"/>
    </row>
    <row r="216">
      <c r="A216" s="35"/>
      <c r="B216" s="35"/>
      <c r="C216" s="35"/>
      <c r="D216" s="100">
        <v>5.0</v>
      </c>
      <c r="E216" s="100">
        <v>1.0</v>
      </c>
      <c r="F216" s="35"/>
      <c r="G216" s="14"/>
      <c r="H216" s="14"/>
      <c r="I216" s="14"/>
    </row>
    <row r="217">
      <c r="A217" s="35"/>
      <c r="B217" s="35"/>
      <c r="C217" s="35"/>
      <c r="D217" s="100">
        <v>4.0</v>
      </c>
      <c r="E217" s="100">
        <v>1.0</v>
      </c>
      <c r="F217" s="35"/>
      <c r="G217" s="14"/>
      <c r="H217" s="14"/>
      <c r="I217" s="14"/>
    </row>
    <row r="218">
      <c r="A218" s="35"/>
      <c r="B218" s="35"/>
      <c r="C218" s="35"/>
      <c r="D218" s="100">
        <v>6.0</v>
      </c>
      <c r="E218" s="100">
        <v>1.0</v>
      </c>
      <c r="F218" s="35"/>
      <c r="G218" s="14"/>
      <c r="H218" s="14"/>
      <c r="I218" s="14"/>
    </row>
    <row r="219">
      <c r="A219" s="35"/>
      <c r="B219" s="35"/>
      <c r="C219" s="35"/>
      <c r="D219" s="100">
        <v>5.0</v>
      </c>
      <c r="E219" s="100">
        <v>1.0</v>
      </c>
      <c r="F219" s="35"/>
      <c r="G219" s="14"/>
      <c r="H219" s="14"/>
      <c r="I219" s="14"/>
    </row>
    <row r="220">
      <c r="A220" s="35"/>
      <c r="B220" s="35"/>
      <c r="C220" s="35"/>
      <c r="D220" s="100">
        <v>6.0</v>
      </c>
      <c r="E220" s="100">
        <v>1.0</v>
      </c>
      <c r="F220" s="35"/>
      <c r="G220" s="14"/>
      <c r="H220" s="14"/>
      <c r="I220" s="14"/>
    </row>
    <row r="221">
      <c r="A221" s="35"/>
      <c r="B221" s="35"/>
      <c r="C221" s="35"/>
      <c r="D221" s="100">
        <v>4.0</v>
      </c>
      <c r="E221" s="100">
        <v>1.0</v>
      </c>
      <c r="F221" s="35"/>
      <c r="G221" s="14"/>
      <c r="H221" s="14"/>
      <c r="I221" s="14"/>
    </row>
    <row r="222">
      <c r="A222" s="35"/>
      <c r="B222" s="35"/>
      <c r="C222" s="35"/>
      <c r="D222" s="100">
        <v>5.0</v>
      </c>
      <c r="E222" s="100">
        <v>1.0</v>
      </c>
      <c r="F222" s="35"/>
      <c r="G222" s="14">
        <f>count(D209:D222)</f>
        <v>14</v>
      </c>
      <c r="H222" s="14">
        <f>average(D209:D222)</f>
        <v>5.142857143</v>
      </c>
      <c r="I222" s="21">
        <v>1.0</v>
      </c>
    </row>
    <row r="223">
      <c r="A223" s="28">
        <v>2.0</v>
      </c>
      <c r="B223" s="28">
        <v>4.0</v>
      </c>
      <c r="C223" s="28" t="s">
        <v>111</v>
      </c>
      <c r="D223" s="100">
        <v>5.0</v>
      </c>
      <c r="E223" s="100">
        <v>1.0</v>
      </c>
      <c r="F223" s="35"/>
      <c r="G223" s="14"/>
      <c r="H223" s="14"/>
      <c r="I223" s="14"/>
      <c r="J223" s="105" t="s">
        <v>379</v>
      </c>
      <c r="K223" s="106"/>
    </row>
    <row r="224">
      <c r="A224" s="35"/>
      <c r="B224" s="35"/>
      <c r="C224" s="35"/>
      <c r="D224" s="100">
        <v>4.0</v>
      </c>
      <c r="E224" s="100">
        <v>1.0</v>
      </c>
      <c r="F224" s="35"/>
      <c r="G224" s="14"/>
      <c r="H224" s="14"/>
      <c r="I224" s="14"/>
    </row>
    <row r="225">
      <c r="A225" s="35"/>
      <c r="B225" s="35"/>
      <c r="C225" s="35"/>
      <c r="D225" s="100">
        <v>2.0</v>
      </c>
      <c r="E225" s="100">
        <v>1.0</v>
      </c>
      <c r="F225" s="35"/>
      <c r="G225" s="14"/>
      <c r="H225" s="14"/>
      <c r="I225" s="14"/>
    </row>
    <row r="226">
      <c r="A226" s="35"/>
      <c r="B226" s="35"/>
      <c r="C226" s="35"/>
      <c r="D226" s="100">
        <v>6.0</v>
      </c>
      <c r="E226" s="100">
        <v>1.0</v>
      </c>
      <c r="F226" s="35"/>
      <c r="G226" s="14">
        <f>count(D223:D226)</f>
        <v>4</v>
      </c>
      <c r="H226" s="14">
        <f>average(D223:D226)</f>
        <v>4.25</v>
      </c>
      <c r="I226" s="21">
        <v>1.0</v>
      </c>
    </row>
    <row r="227">
      <c r="A227" s="28">
        <v>7.0</v>
      </c>
      <c r="B227" s="28">
        <v>13.0</v>
      </c>
      <c r="C227" s="28" t="s">
        <v>111</v>
      </c>
      <c r="D227" s="100">
        <v>7.0</v>
      </c>
      <c r="E227" s="100">
        <v>1.0</v>
      </c>
      <c r="F227" s="35"/>
      <c r="G227" s="14"/>
      <c r="H227" s="14"/>
      <c r="I227" s="14"/>
    </row>
    <row r="228">
      <c r="A228" s="35"/>
      <c r="B228" s="35"/>
      <c r="C228" s="35"/>
      <c r="D228" s="100">
        <v>13.0</v>
      </c>
      <c r="E228" s="100">
        <v>1.0</v>
      </c>
      <c r="F228" s="35"/>
      <c r="G228" s="14"/>
      <c r="H228" s="14"/>
      <c r="I228" s="14"/>
    </row>
    <row r="229">
      <c r="A229" s="35"/>
      <c r="B229" s="35"/>
      <c r="C229" s="35"/>
      <c r="D229" s="100">
        <v>7.0</v>
      </c>
      <c r="E229" s="100">
        <v>1.0</v>
      </c>
      <c r="F229" s="35"/>
      <c r="G229" s="14"/>
      <c r="H229" s="14"/>
      <c r="I229" s="14"/>
    </row>
    <row r="230">
      <c r="A230" s="35"/>
      <c r="B230" s="35"/>
      <c r="C230" s="35"/>
      <c r="D230" s="100">
        <v>8.0</v>
      </c>
      <c r="E230" s="100">
        <v>1.0</v>
      </c>
      <c r="F230" s="35"/>
      <c r="G230" s="14"/>
      <c r="H230" s="14"/>
      <c r="I230" s="14"/>
    </row>
    <row r="231">
      <c r="A231" s="35"/>
      <c r="B231" s="35"/>
      <c r="C231" s="35"/>
      <c r="D231" s="100">
        <v>5.0</v>
      </c>
      <c r="E231" s="100">
        <v>1.0</v>
      </c>
      <c r="F231" s="35"/>
      <c r="G231" s="14"/>
      <c r="H231" s="14"/>
      <c r="I231" s="14"/>
    </row>
    <row r="232">
      <c r="A232" s="35"/>
      <c r="B232" s="35"/>
      <c r="C232" s="35"/>
      <c r="D232" s="100">
        <v>7.0</v>
      </c>
      <c r="E232" s="100">
        <v>1.0</v>
      </c>
      <c r="F232" s="35"/>
      <c r="G232" s="14"/>
      <c r="H232" s="14"/>
      <c r="I232" s="14"/>
    </row>
    <row r="233">
      <c r="A233" s="35"/>
      <c r="B233" s="35"/>
      <c r="C233" s="35"/>
      <c r="D233" s="100">
        <v>6.0</v>
      </c>
      <c r="E233" s="100">
        <v>1.0</v>
      </c>
      <c r="F233" s="35"/>
      <c r="G233" s="14"/>
      <c r="H233" s="14"/>
      <c r="I233" s="14"/>
    </row>
    <row r="234">
      <c r="A234" s="35"/>
      <c r="B234" s="35"/>
      <c r="C234" s="35"/>
      <c r="D234" s="100">
        <v>17.0</v>
      </c>
      <c r="E234" s="100">
        <v>1.0</v>
      </c>
      <c r="F234" s="35"/>
      <c r="G234" s="14"/>
      <c r="H234" s="14"/>
      <c r="I234" s="14"/>
    </row>
    <row r="235">
      <c r="A235" s="35"/>
      <c r="B235" s="35"/>
      <c r="C235" s="35"/>
      <c r="D235" s="100">
        <v>8.0</v>
      </c>
      <c r="E235" s="100">
        <v>1.0</v>
      </c>
      <c r="F235" s="35"/>
      <c r="G235" s="14"/>
      <c r="H235" s="14"/>
      <c r="I235" s="14"/>
    </row>
    <row r="236">
      <c r="A236" s="35"/>
      <c r="B236" s="35"/>
      <c r="C236" s="35"/>
      <c r="D236" s="100">
        <v>4.0</v>
      </c>
      <c r="E236" s="100">
        <v>1.0</v>
      </c>
      <c r="F236" s="35"/>
      <c r="G236" s="14">
        <f>count(D227:D236)</f>
        <v>10</v>
      </c>
      <c r="H236" s="14">
        <f>average(D227:D236)</f>
        <v>8.2</v>
      </c>
      <c r="I236" s="21">
        <v>1.0</v>
      </c>
    </row>
    <row r="237">
      <c r="A237" s="28">
        <v>8.0</v>
      </c>
      <c r="B237" s="28">
        <v>25.0</v>
      </c>
      <c r="C237" s="28" t="s">
        <v>111</v>
      </c>
      <c r="D237" s="100">
        <v>6.0</v>
      </c>
      <c r="E237" s="100">
        <v>1.0</v>
      </c>
      <c r="F237" s="35"/>
      <c r="G237" s="14"/>
      <c r="H237" s="14"/>
      <c r="I237" s="14"/>
    </row>
    <row r="238">
      <c r="A238" s="35"/>
      <c r="B238" s="35"/>
      <c r="C238" s="35"/>
      <c r="D238" s="100">
        <v>2.0</v>
      </c>
      <c r="E238" s="100">
        <v>1.0</v>
      </c>
      <c r="F238" s="35"/>
      <c r="G238" s="14"/>
      <c r="H238" s="14"/>
      <c r="I238" s="14"/>
    </row>
    <row r="239">
      <c r="A239" s="35"/>
      <c r="B239" s="35"/>
      <c r="C239" s="35"/>
      <c r="D239" s="100">
        <v>2.0</v>
      </c>
      <c r="E239" s="100">
        <v>1.0</v>
      </c>
      <c r="F239" s="35"/>
      <c r="G239" s="14"/>
      <c r="H239" s="14"/>
      <c r="I239" s="14"/>
    </row>
    <row r="240">
      <c r="A240" s="35"/>
      <c r="B240" s="35"/>
      <c r="C240" s="35"/>
      <c r="D240" s="100">
        <v>8.0</v>
      </c>
      <c r="E240" s="100">
        <v>1.0</v>
      </c>
      <c r="F240" s="35"/>
      <c r="G240" s="14"/>
      <c r="H240" s="14"/>
      <c r="I240" s="14"/>
    </row>
    <row r="241">
      <c r="A241" s="35"/>
      <c r="B241" s="35"/>
      <c r="C241" s="35"/>
      <c r="D241" s="100">
        <v>13.0</v>
      </c>
      <c r="E241" s="100">
        <v>1.0</v>
      </c>
      <c r="F241" s="35"/>
      <c r="G241" s="14"/>
      <c r="H241" s="14"/>
      <c r="I241" s="14"/>
    </row>
    <row r="242">
      <c r="A242" s="35"/>
      <c r="B242" s="35"/>
      <c r="C242" s="35"/>
      <c r="D242" s="100">
        <v>7.0</v>
      </c>
      <c r="E242" s="100">
        <v>1.0</v>
      </c>
      <c r="F242" s="35"/>
      <c r="G242" s="14"/>
      <c r="H242" s="14"/>
      <c r="I242" s="14"/>
    </row>
    <row r="243">
      <c r="A243" s="35"/>
      <c r="B243" s="35"/>
      <c r="C243" s="35"/>
      <c r="D243" s="100">
        <v>5.0</v>
      </c>
      <c r="E243" s="100">
        <v>1.0</v>
      </c>
      <c r="F243" s="35"/>
      <c r="G243" s="14"/>
      <c r="H243" s="14"/>
      <c r="I243" s="14"/>
    </row>
    <row r="244">
      <c r="A244" s="35"/>
      <c r="B244" s="35"/>
      <c r="C244" s="35"/>
      <c r="D244" s="100">
        <v>4.0</v>
      </c>
      <c r="E244" s="100">
        <v>1.0</v>
      </c>
      <c r="F244" s="35"/>
      <c r="G244" s="14"/>
      <c r="H244" s="14"/>
      <c r="I244" s="14"/>
    </row>
    <row r="245">
      <c r="A245" s="35"/>
      <c r="B245" s="35"/>
      <c r="C245" s="35"/>
      <c r="D245" s="100">
        <v>7.0</v>
      </c>
      <c r="E245" s="100">
        <v>1.0</v>
      </c>
      <c r="F245" s="35"/>
      <c r="G245" s="14"/>
      <c r="H245" s="14"/>
      <c r="I245" s="14"/>
    </row>
    <row r="246">
      <c r="A246" s="35"/>
      <c r="B246" s="35"/>
      <c r="C246" s="35"/>
      <c r="D246" s="100">
        <v>4.0</v>
      </c>
      <c r="E246" s="100">
        <v>1.0</v>
      </c>
      <c r="F246" s="35"/>
      <c r="G246" s="14"/>
      <c r="H246" s="14"/>
      <c r="I246" s="14"/>
    </row>
    <row r="247">
      <c r="A247" s="35"/>
      <c r="B247" s="35"/>
      <c r="C247" s="35"/>
      <c r="D247" s="100">
        <v>5.0</v>
      </c>
      <c r="E247" s="100">
        <v>1.0</v>
      </c>
      <c r="F247" s="35"/>
      <c r="G247" s="14"/>
      <c r="H247" s="14"/>
      <c r="I247" s="14"/>
    </row>
    <row r="248">
      <c r="A248" s="35"/>
      <c r="B248" s="35"/>
      <c r="C248" s="35"/>
      <c r="D248" s="100">
        <v>12.0</v>
      </c>
      <c r="E248" s="100">
        <v>1.0</v>
      </c>
      <c r="F248" s="35"/>
      <c r="G248" s="14"/>
      <c r="H248" s="14"/>
      <c r="I248" s="14"/>
    </row>
    <row r="249">
      <c r="A249" s="35"/>
      <c r="B249" s="35"/>
      <c r="C249" s="35"/>
      <c r="D249" s="100">
        <v>7.0</v>
      </c>
      <c r="E249" s="100">
        <v>1.0</v>
      </c>
      <c r="F249" s="35"/>
      <c r="G249" s="14"/>
      <c r="H249" s="14"/>
      <c r="I249" s="14"/>
    </row>
    <row r="250">
      <c r="A250" s="35"/>
      <c r="B250" s="35"/>
      <c r="C250" s="35"/>
      <c r="D250" s="100">
        <v>13.0</v>
      </c>
      <c r="E250" s="100">
        <v>1.0</v>
      </c>
      <c r="F250" s="35"/>
      <c r="G250" s="14"/>
      <c r="H250" s="14"/>
      <c r="I250" s="14"/>
    </row>
    <row r="251">
      <c r="A251" s="35"/>
      <c r="B251" s="35"/>
      <c r="C251" s="35"/>
      <c r="D251" s="100">
        <v>7.0</v>
      </c>
      <c r="E251" s="100">
        <v>1.0</v>
      </c>
      <c r="F251" s="35"/>
      <c r="G251" s="14"/>
      <c r="H251" s="14"/>
      <c r="I251" s="14"/>
    </row>
    <row r="252">
      <c r="A252" s="35"/>
      <c r="B252" s="35"/>
      <c r="C252" s="35"/>
      <c r="D252" s="100">
        <v>4.0</v>
      </c>
      <c r="E252" s="100">
        <v>1.0</v>
      </c>
      <c r="F252" s="35"/>
      <c r="G252" s="14"/>
      <c r="H252" s="14"/>
      <c r="I252" s="14"/>
    </row>
    <row r="253">
      <c r="A253" s="35"/>
      <c r="B253" s="35"/>
      <c r="C253" s="35"/>
      <c r="D253" s="100">
        <v>10.0</v>
      </c>
      <c r="E253" s="100">
        <v>1.0</v>
      </c>
      <c r="F253" s="35"/>
      <c r="G253" s="14"/>
      <c r="H253" s="14"/>
      <c r="I253" s="14"/>
    </row>
    <row r="254">
      <c r="A254" s="35"/>
      <c r="B254" s="35"/>
      <c r="C254" s="35"/>
      <c r="D254" s="100">
        <v>5.0</v>
      </c>
      <c r="E254" s="100">
        <v>1.0</v>
      </c>
      <c r="F254" s="35"/>
      <c r="G254" s="14"/>
      <c r="H254" s="14"/>
      <c r="I254" s="14"/>
    </row>
    <row r="255">
      <c r="A255" s="35"/>
      <c r="B255" s="35"/>
      <c r="C255" s="35"/>
      <c r="D255" s="100">
        <v>9.0</v>
      </c>
      <c r="E255" s="100">
        <v>1.0</v>
      </c>
      <c r="F255" s="35"/>
      <c r="G255" s="14"/>
      <c r="H255" s="14"/>
      <c r="I255" s="14"/>
    </row>
    <row r="256">
      <c r="A256" s="35"/>
      <c r="B256" s="35"/>
      <c r="C256" s="35"/>
      <c r="D256" s="100">
        <v>6.0</v>
      </c>
      <c r="E256" s="100">
        <v>1.0</v>
      </c>
      <c r="F256" s="35"/>
      <c r="G256" s="14"/>
      <c r="H256" s="14"/>
      <c r="I256" s="14"/>
    </row>
    <row r="257">
      <c r="A257" s="35"/>
      <c r="B257" s="35"/>
      <c r="C257" s="35"/>
      <c r="D257" s="100">
        <v>1.0</v>
      </c>
      <c r="E257" s="100">
        <v>1.0</v>
      </c>
      <c r="F257" s="35"/>
      <c r="G257" s="14"/>
      <c r="H257" s="14"/>
      <c r="I257" s="14"/>
    </row>
    <row r="258">
      <c r="A258" s="35"/>
      <c r="B258" s="35"/>
      <c r="C258" s="35"/>
      <c r="D258" s="100">
        <v>1.0</v>
      </c>
      <c r="E258" s="100">
        <v>1.0</v>
      </c>
      <c r="F258" s="35"/>
      <c r="G258" s="14">
        <f>count(D237:D258)</f>
        <v>22</v>
      </c>
      <c r="H258" s="14">
        <f>average(D237:D258)</f>
        <v>6.272727273</v>
      </c>
      <c r="I258" s="21">
        <v>1.0</v>
      </c>
    </row>
    <row r="259">
      <c r="A259" s="28">
        <v>9.0</v>
      </c>
      <c r="B259" s="35"/>
      <c r="C259" s="28" t="s">
        <v>111</v>
      </c>
      <c r="D259" s="28">
        <v>5.0</v>
      </c>
      <c r="E259" s="28">
        <v>1.0</v>
      </c>
      <c r="F259" s="35"/>
      <c r="G259" s="14"/>
      <c r="H259" s="14"/>
      <c r="I259" s="14"/>
    </row>
    <row r="260">
      <c r="A260" s="35"/>
      <c r="B260" s="35"/>
      <c r="C260" s="35"/>
      <c r="D260" s="28">
        <v>2.0</v>
      </c>
      <c r="E260" s="28">
        <v>1.0</v>
      </c>
      <c r="F260" s="35"/>
      <c r="G260" s="14"/>
      <c r="H260" s="14"/>
      <c r="I260" s="14"/>
    </row>
    <row r="261">
      <c r="A261" s="35"/>
      <c r="B261" s="35"/>
      <c r="C261" s="35"/>
      <c r="D261" s="28">
        <v>4.0</v>
      </c>
      <c r="E261" s="28">
        <v>1.0</v>
      </c>
      <c r="F261" s="35"/>
      <c r="G261" s="14"/>
      <c r="H261" s="14"/>
      <c r="I261" s="14"/>
    </row>
    <row r="262">
      <c r="A262" s="35"/>
      <c r="B262" s="35"/>
      <c r="C262" s="35"/>
      <c r="D262" s="28">
        <v>2.0</v>
      </c>
      <c r="E262" s="28">
        <v>1.0</v>
      </c>
      <c r="F262" s="35"/>
      <c r="G262" s="14"/>
      <c r="H262" s="14"/>
      <c r="I262" s="14"/>
    </row>
    <row r="263">
      <c r="A263" s="35"/>
      <c r="B263" s="35"/>
      <c r="C263" s="35"/>
      <c r="D263" s="28">
        <v>4.0</v>
      </c>
      <c r="E263" s="28">
        <v>1.0</v>
      </c>
      <c r="F263" s="35"/>
      <c r="G263" s="14"/>
      <c r="H263" s="14"/>
      <c r="I263" s="14"/>
    </row>
    <row r="264">
      <c r="A264" s="35"/>
      <c r="B264" s="35"/>
      <c r="C264" s="35"/>
      <c r="D264" s="28">
        <v>4.0</v>
      </c>
      <c r="E264" s="28">
        <v>1.0</v>
      </c>
      <c r="F264" s="35"/>
      <c r="G264" s="14"/>
      <c r="H264" s="14"/>
      <c r="I264" s="14"/>
    </row>
    <row r="265">
      <c r="A265" s="35"/>
      <c r="B265" s="35"/>
      <c r="C265" s="28"/>
      <c r="D265" s="100">
        <v>4.0</v>
      </c>
      <c r="E265" s="28">
        <v>1.0</v>
      </c>
      <c r="F265" s="35"/>
      <c r="G265" s="14"/>
      <c r="H265" s="14"/>
      <c r="I265" s="14"/>
    </row>
    <row r="266">
      <c r="A266" s="35"/>
      <c r="B266" s="35"/>
      <c r="C266" s="28"/>
      <c r="D266" s="100">
        <v>2.0</v>
      </c>
      <c r="E266" s="28">
        <v>1.0</v>
      </c>
      <c r="F266" s="35"/>
      <c r="G266" s="14"/>
      <c r="H266" s="14"/>
      <c r="I266" s="14"/>
    </row>
    <row r="267">
      <c r="A267" s="35"/>
      <c r="B267" s="35"/>
      <c r="C267" s="28"/>
      <c r="D267" s="100">
        <v>2.0</v>
      </c>
      <c r="E267" s="28">
        <v>1.0</v>
      </c>
      <c r="F267" s="35"/>
      <c r="G267" s="14"/>
      <c r="H267" s="14"/>
      <c r="I267" s="14"/>
    </row>
    <row r="268">
      <c r="A268" s="35"/>
      <c r="B268" s="35"/>
      <c r="C268" s="28"/>
      <c r="D268" s="100">
        <v>4.0</v>
      </c>
      <c r="E268" s="28">
        <v>1.0</v>
      </c>
      <c r="F268" s="35"/>
      <c r="G268" s="14"/>
      <c r="H268" s="14"/>
      <c r="I268" s="14"/>
    </row>
    <row r="269">
      <c r="A269" s="35"/>
      <c r="B269" s="35"/>
      <c r="C269" s="28"/>
      <c r="D269" s="100">
        <v>4.0</v>
      </c>
      <c r="E269" s="28">
        <v>1.0</v>
      </c>
      <c r="F269" s="35"/>
      <c r="G269" s="107">
        <f>COUNT(D259:D269)</f>
        <v>11</v>
      </c>
      <c r="H269" s="107">
        <f>AVERAGE(D259:D269)</f>
        <v>3.363636364</v>
      </c>
      <c r="I269" s="108">
        <v>1.0</v>
      </c>
    </row>
    <row r="270">
      <c r="A270" s="28">
        <v>10.0</v>
      </c>
      <c r="B270" s="35"/>
      <c r="C270" s="28" t="s">
        <v>111</v>
      </c>
      <c r="D270" s="100">
        <v>4.0</v>
      </c>
      <c r="E270" s="28">
        <v>1.0</v>
      </c>
      <c r="F270" s="35"/>
      <c r="G270" s="14"/>
      <c r="H270" s="14"/>
      <c r="I270" s="14"/>
    </row>
    <row r="271">
      <c r="A271" s="35"/>
      <c r="B271" s="35"/>
      <c r="C271" s="28"/>
      <c r="D271" s="100">
        <v>2.0</v>
      </c>
      <c r="E271" s="28">
        <v>1.0</v>
      </c>
      <c r="F271" s="35"/>
      <c r="G271" s="14"/>
      <c r="H271" s="14"/>
      <c r="I271" s="14"/>
    </row>
    <row r="272">
      <c r="A272" s="35"/>
      <c r="B272" s="35"/>
      <c r="C272" s="28"/>
      <c r="D272" s="100">
        <v>2.0</v>
      </c>
      <c r="E272" s="28">
        <v>1.0</v>
      </c>
      <c r="F272" s="35"/>
      <c r="G272" s="14"/>
      <c r="H272" s="14"/>
      <c r="I272" s="14"/>
    </row>
    <row r="273">
      <c r="A273" s="35"/>
      <c r="B273" s="35"/>
      <c r="C273" s="28"/>
      <c r="D273" s="100">
        <v>3.0</v>
      </c>
      <c r="E273" s="28">
        <v>1.0</v>
      </c>
      <c r="F273" s="35"/>
      <c r="G273" s="14"/>
      <c r="H273" s="14"/>
      <c r="I273" s="14"/>
    </row>
    <row r="274">
      <c r="A274" s="35"/>
      <c r="B274" s="35"/>
      <c r="C274" s="28"/>
      <c r="D274" s="100">
        <v>4.0</v>
      </c>
      <c r="E274" s="28">
        <v>2.0</v>
      </c>
      <c r="F274" s="35"/>
      <c r="G274" s="14"/>
      <c r="H274" s="14"/>
      <c r="I274" s="14"/>
    </row>
    <row r="275">
      <c r="A275" s="35"/>
      <c r="B275" s="35"/>
      <c r="C275" s="28"/>
      <c r="D275" s="100">
        <v>4.0</v>
      </c>
      <c r="E275" s="28">
        <v>1.0</v>
      </c>
      <c r="F275" s="35"/>
      <c r="G275" s="14"/>
      <c r="H275" s="14"/>
      <c r="I275" s="14"/>
    </row>
    <row r="276">
      <c r="A276" s="35"/>
      <c r="B276" s="35"/>
      <c r="C276" s="28"/>
      <c r="D276" s="100">
        <v>2.0</v>
      </c>
      <c r="E276" s="28">
        <v>1.0</v>
      </c>
      <c r="F276" s="35"/>
      <c r="G276" s="14"/>
      <c r="H276" s="14"/>
      <c r="I276" s="14"/>
    </row>
    <row r="277">
      <c r="A277" s="35"/>
      <c r="B277" s="35"/>
      <c r="C277" s="28"/>
      <c r="D277" s="100">
        <v>4.0</v>
      </c>
      <c r="E277" s="28">
        <v>1.0</v>
      </c>
      <c r="F277" s="35"/>
      <c r="G277" s="14"/>
      <c r="H277" s="14"/>
      <c r="I277" s="14"/>
    </row>
    <row r="278">
      <c r="A278" s="35"/>
      <c r="B278" s="35"/>
      <c r="C278" s="28"/>
      <c r="D278" s="100">
        <v>2.0</v>
      </c>
      <c r="E278" s="28">
        <v>1.0</v>
      </c>
      <c r="F278" s="35"/>
      <c r="G278" s="14"/>
      <c r="H278" s="14"/>
      <c r="I278" s="14"/>
    </row>
    <row r="279">
      <c r="A279" s="35"/>
      <c r="B279" s="35"/>
      <c r="C279" s="28"/>
      <c r="D279" s="100">
        <v>2.0</v>
      </c>
      <c r="E279" s="28">
        <v>1.0</v>
      </c>
      <c r="F279" s="35"/>
      <c r="G279" s="14"/>
      <c r="H279" s="14"/>
      <c r="I279" s="14"/>
    </row>
    <row r="280">
      <c r="A280" s="35"/>
      <c r="B280" s="35"/>
      <c r="C280" s="28"/>
      <c r="D280" s="100">
        <v>4.0</v>
      </c>
      <c r="E280" s="28">
        <v>1.0</v>
      </c>
      <c r="F280" s="35"/>
      <c r="G280" s="14"/>
      <c r="H280" s="14"/>
      <c r="I280" s="14"/>
    </row>
    <row r="281">
      <c r="A281" s="35"/>
      <c r="B281" s="35"/>
      <c r="C281" s="28"/>
      <c r="D281" s="100">
        <v>3.0</v>
      </c>
      <c r="E281" s="28">
        <v>1.0</v>
      </c>
      <c r="F281" s="35"/>
      <c r="G281" s="107">
        <f>COUNT(D270:D281)</f>
        <v>12</v>
      </c>
      <c r="H281" s="107">
        <f t="shared" ref="H281:I281" si="10">AVERAGE(D270:D281)</f>
        <v>3</v>
      </c>
      <c r="I281" s="107">
        <f t="shared" si="10"/>
        <v>1.083333333</v>
      </c>
    </row>
    <row r="282">
      <c r="A282" s="28">
        <v>11.0</v>
      </c>
      <c r="B282" s="35"/>
      <c r="C282" s="28" t="s">
        <v>111</v>
      </c>
      <c r="D282" s="100">
        <v>2.0</v>
      </c>
      <c r="E282" s="100">
        <v>1.0</v>
      </c>
      <c r="F282" s="35"/>
      <c r="G282" s="14"/>
      <c r="H282" s="14"/>
      <c r="I282" s="14"/>
    </row>
    <row r="283">
      <c r="A283" s="28"/>
      <c r="B283" s="35"/>
      <c r="C283" s="28"/>
      <c r="D283" s="100">
        <v>3.0</v>
      </c>
      <c r="E283" s="100">
        <v>2.0</v>
      </c>
      <c r="F283" s="35"/>
      <c r="G283" s="14"/>
      <c r="H283" s="14"/>
      <c r="I283" s="14"/>
    </row>
    <row r="284">
      <c r="A284" s="35"/>
      <c r="B284" s="35"/>
      <c r="C284" s="28"/>
      <c r="D284" s="100">
        <v>3.0</v>
      </c>
      <c r="E284" s="100">
        <v>1.0</v>
      </c>
      <c r="F284" s="35"/>
      <c r="G284" s="14"/>
      <c r="H284" s="14"/>
      <c r="I284" s="14"/>
    </row>
    <row r="285">
      <c r="A285" s="35"/>
      <c r="B285" s="35"/>
      <c r="C285" s="28"/>
      <c r="D285" s="100">
        <v>2.0</v>
      </c>
      <c r="E285" s="100">
        <v>1.0</v>
      </c>
      <c r="F285" s="35"/>
      <c r="G285" s="14"/>
      <c r="H285" s="14"/>
      <c r="I285" s="14"/>
    </row>
    <row r="286">
      <c r="A286" s="35"/>
      <c r="B286" s="35"/>
      <c r="C286" s="28"/>
      <c r="D286" s="100">
        <v>3.0</v>
      </c>
      <c r="E286" s="100">
        <v>1.0</v>
      </c>
      <c r="F286" s="35"/>
      <c r="G286" s="14"/>
      <c r="H286" s="14"/>
      <c r="I286" s="14"/>
    </row>
    <row r="287">
      <c r="A287" s="35"/>
      <c r="B287" s="35"/>
      <c r="C287" s="28"/>
      <c r="D287" s="100">
        <v>3.0</v>
      </c>
      <c r="E287" s="100">
        <v>1.0</v>
      </c>
      <c r="F287" s="35"/>
      <c r="G287" s="14"/>
      <c r="H287" s="14"/>
      <c r="I287" s="14"/>
    </row>
    <row r="288">
      <c r="A288" s="35"/>
      <c r="B288" s="35"/>
      <c r="C288" s="28"/>
      <c r="D288" s="100">
        <v>3.0</v>
      </c>
      <c r="E288" s="100">
        <v>1.0</v>
      </c>
      <c r="F288" s="35"/>
      <c r="G288" s="14"/>
      <c r="H288" s="14"/>
      <c r="I288" s="14"/>
    </row>
    <row r="289">
      <c r="A289" s="35"/>
      <c r="B289" s="35"/>
      <c r="C289" s="28"/>
      <c r="D289" s="100">
        <v>3.0</v>
      </c>
      <c r="E289" s="100">
        <v>1.0</v>
      </c>
      <c r="F289" s="35"/>
      <c r="G289" s="14"/>
      <c r="H289" s="14"/>
      <c r="I289" s="14"/>
    </row>
    <row r="290">
      <c r="A290" s="35"/>
      <c r="B290" s="35"/>
      <c r="C290" s="28"/>
      <c r="D290" s="100">
        <v>3.0</v>
      </c>
      <c r="E290" s="100">
        <v>1.0</v>
      </c>
      <c r="F290" s="35"/>
      <c r="G290" s="14"/>
      <c r="H290" s="14"/>
      <c r="I290" s="14"/>
    </row>
    <row r="291">
      <c r="A291" s="35"/>
      <c r="B291" s="35"/>
      <c r="C291" s="28"/>
      <c r="D291" s="100">
        <v>4.0</v>
      </c>
      <c r="E291" s="100">
        <v>1.0</v>
      </c>
      <c r="F291" s="35"/>
      <c r="G291" s="14"/>
      <c r="H291" s="14"/>
      <c r="I291" s="14"/>
    </row>
    <row r="292">
      <c r="A292" s="35"/>
      <c r="B292" s="35"/>
      <c r="C292" s="28"/>
      <c r="D292" s="100">
        <v>4.0</v>
      </c>
      <c r="E292" s="100">
        <v>1.0</v>
      </c>
      <c r="F292" s="35"/>
      <c r="G292" s="14"/>
      <c r="H292" s="14"/>
      <c r="I292" s="14"/>
    </row>
    <row r="293">
      <c r="A293" s="35"/>
      <c r="B293" s="35"/>
      <c r="C293" s="28"/>
      <c r="D293" s="100">
        <v>6.0</v>
      </c>
      <c r="E293" s="100">
        <v>1.0</v>
      </c>
      <c r="F293" s="35"/>
      <c r="G293" s="14"/>
      <c r="H293" s="14"/>
      <c r="I293" s="14"/>
    </row>
    <row r="294">
      <c r="A294" s="35"/>
      <c r="B294" s="35"/>
      <c r="C294" s="28"/>
      <c r="D294" s="100">
        <v>2.0</v>
      </c>
      <c r="E294" s="100">
        <v>1.0</v>
      </c>
      <c r="F294" s="35"/>
      <c r="G294" s="107">
        <f>COUNT(D282:D294)</f>
        <v>13</v>
      </c>
      <c r="H294" s="107">
        <f t="shared" ref="H294:I294" si="11">AVERAGE(D282:D294)</f>
        <v>3.153846154</v>
      </c>
      <c r="I294" s="107">
        <f t="shared" si="11"/>
        <v>1.076923077</v>
      </c>
    </row>
    <row r="295">
      <c r="A295" s="28">
        <v>12.0</v>
      </c>
      <c r="B295" s="35"/>
      <c r="C295" s="28" t="s">
        <v>111</v>
      </c>
      <c r="D295" s="100">
        <v>3.0</v>
      </c>
      <c r="E295" s="100">
        <v>1.0</v>
      </c>
      <c r="F295" s="35"/>
      <c r="G295" s="14"/>
      <c r="H295" s="14"/>
      <c r="I295" s="14"/>
    </row>
    <row r="296">
      <c r="A296" s="35"/>
      <c r="B296" s="35"/>
      <c r="C296" s="28"/>
      <c r="D296" s="100">
        <v>2.0</v>
      </c>
      <c r="E296" s="100">
        <v>1.0</v>
      </c>
      <c r="F296" s="35"/>
      <c r="G296" s="14"/>
      <c r="H296" s="14"/>
      <c r="I296" s="14"/>
    </row>
    <row r="297">
      <c r="A297" s="35"/>
      <c r="B297" s="35"/>
      <c r="C297" s="28"/>
      <c r="D297" s="100">
        <v>3.0</v>
      </c>
      <c r="E297" s="100">
        <v>1.0</v>
      </c>
      <c r="F297" s="35"/>
      <c r="G297" s="14"/>
      <c r="H297" s="14"/>
      <c r="I297" s="14"/>
    </row>
    <row r="298">
      <c r="A298" s="35"/>
      <c r="B298" s="35"/>
      <c r="C298" s="28"/>
      <c r="D298" s="100">
        <v>3.0</v>
      </c>
      <c r="E298" s="100">
        <v>1.0</v>
      </c>
      <c r="F298" s="35"/>
      <c r="G298" s="14"/>
      <c r="H298" s="14"/>
      <c r="I298" s="14"/>
    </row>
    <row r="299">
      <c r="A299" s="35"/>
      <c r="B299" s="35"/>
      <c r="C299" s="28"/>
      <c r="D299" s="100">
        <v>2.0</v>
      </c>
      <c r="E299" s="100">
        <v>1.0</v>
      </c>
      <c r="F299" s="35"/>
      <c r="G299" s="14"/>
      <c r="H299" s="14"/>
      <c r="I299" s="14"/>
    </row>
    <row r="300">
      <c r="A300" s="35"/>
      <c r="B300" s="35"/>
      <c r="C300" s="28"/>
      <c r="D300" s="100">
        <v>3.0</v>
      </c>
      <c r="E300" s="100">
        <v>1.0</v>
      </c>
      <c r="F300" s="35"/>
      <c r="G300" s="14"/>
      <c r="H300" s="14"/>
      <c r="I300" s="14"/>
    </row>
    <row r="301">
      <c r="A301" s="35"/>
      <c r="B301" s="35"/>
      <c r="C301" s="28"/>
      <c r="D301" s="100">
        <v>4.0</v>
      </c>
      <c r="E301" s="100">
        <v>1.0</v>
      </c>
      <c r="F301" s="35"/>
      <c r="G301" s="14"/>
      <c r="H301" s="14"/>
      <c r="I301" s="14"/>
    </row>
    <row r="302">
      <c r="A302" s="35"/>
      <c r="B302" s="35"/>
      <c r="C302" s="28"/>
      <c r="D302" s="100">
        <v>4.0</v>
      </c>
      <c r="E302" s="100">
        <v>1.0</v>
      </c>
      <c r="F302" s="35"/>
      <c r="G302" s="14"/>
      <c r="H302" s="14"/>
      <c r="I302" s="14"/>
    </row>
    <row r="303">
      <c r="A303" s="35"/>
      <c r="B303" s="35"/>
      <c r="C303" s="28"/>
      <c r="D303" s="100">
        <v>3.0</v>
      </c>
      <c r="E303" s="100">
        <v>1.0</v>
      </c>
      <c r="F303" s="35"/>
      <c r="G303" s="14"/>
      <c r="H303" s="14"/>
      <c r="I303" s="14"/>
    </row>
    <row r="304">
      <c r="A304" s="35"/>
      <c r="B304" s="35"/>
      <c r="C304" s="28"/>
      <c r="D304" s="100">
        <v>2.0</v>
      </c>
      <c r="E304" s="100">
        <v>1.0</v>
      </c>
      <c r="F304" s="35"/>
      <c r="G304" s="14"/>
      <c r="H304" s="14"/>
      <c r="I304" s="14"/>
    </row>
    <row r="305">
      <c r="A305" s="35"/>
      <c r="B305" s="35"/>
      <c r="C305" s="28"/>
      <c r="D305" s="100">
        <v>2.0</v>
      </c>
      <c r="E305" s="100">
        <v>1.0</v>
      </c>
      <c r="F305" s="35"/>
      <c r="G305" s="14"/>
      <c r="H305" s="14"/>
      <c r="I305" s="14"/>
    </row>
    <row r="306">
      <c r="A306" s="35"/>
      <c r="B306" s="35"/>
      <c r="C306" s="28"/>
      <c r="D306" s="100">
        <v>2.0</v>
      </c>
      <c r="E306" s="100">
        <v>1.0</v>
      </c>
      <c r="F306" s="35"/>
      <c r="G306" s="14"/>
      <c r="H306" s="14"/>
      <c r="I306" s="14"/>
    </row>
    <row r="307">
      <c r="A307" s="35"/>
      <c r="B307" s="35"/>
      <c r="C307" s="28"/>
      <c r="D307" s="100">
        <v>3.0</v>
      </c>
      <c r="E307" s="100">
        <v>1.0</v>
      </c>
      <c r="F307" s="35"/>
      <c r="G307" s="14"/>
      <c r="H307" s="14"/>
      <c r="I307" s="14"/>
    </row>
    <row r="308">
      <c r="A308" s="35"/>
      <c r="B308" s="35"/>
      <c r="C308" s="28"/>
      <c r="D308" s="100">
        <v>2.0</v>
      </c>
      <c r="E308" s="100">
        <v>1.0</v>
      </c>
      <c r="F308" s="35"/>
      <c r="G308" s="14"/>
      <c r="H308" s="14"/>
      <c r="I308" s="14"/>
    </row>
    <row r="309">
      <c r="A309" s="35"/>
      <c r="B309" s="35"/>
      <c r="C309" s="28"/>
      <c r="D309" s="100">
        <v>1.0</v>
      </c>
      <c r="E309" s="100">
        <v>1.0</v>
      </c>
      <c r="F309" s="35"/>
      <c r="G309" s="14"/>
      <c r="H309" s="14"/>
      <c r="I309" s="14"/>
    </row>
    <row r="310">
      <c r="A310" s="35"/>
      <c r="B310" s="35"/>
      <c r="C310" s="28"/>
      <c r="D310" s="100">
        <v>7.0</v>
      </c>
      <c r="E310" s="100">
        <v>1.0</v>
      </c>
      <c r="F310" s="35"/>
      <c r="G310" s="14"/>
      <c r="H310" s="14"/>
      <c r="I310" s="14"/>
    </row>
    <row r="311">
      <c r="A311" s="35"/>
      <c r="B311" s="35"/>
      <c r="C311" s="28"/>
      <c r="D311" s="100">
        <v>3.0</v>
      </c>
      <c r="E311" s="100">
        <v>1.0</v>
      </c>
      <c r="F311" s="35"/>
      <c r="G311" s="14"/>
      <c r="H311" s="14"/>
      <c r="I311" s="14"/>
    </row>
    <row r="312">
      <c r="A312" s="35"/>
      <c r="B312" s="35"/>
      <c r="C312" s="28"/>
      <c r="D312" s="100">
        <v>3.0</v>
      </c>
      <c r="E312" s="100">
        <v>1.0</v>
      </c>
      <c r="F312" s="35"/>
      <c r="G312" s="14"/>
      <c r="H312" s="14"/>
      <c r="I312" s="14"/>
    </row>
    <row r="313">
      <c r="A313" s="35"/>
      <c r="B313" s="35"/>
      <c r="C313" s="28"/>
      <c r="D313" s="100">
        <v>3.0</v>
      </c>
      <c r="E313" s="100">
        <v>1.0</v>
      </c>
      <c r="F313" s="35"/>
      <c r="G313" s="107">
        <f>COUNT(D295:D313)</f>
        <v>19</v>
      </c>
      <c r="H313" s="107">
        <f t="shared" ref="H313:I313" si="12">AVERAGE(D295:D313)</f>
        <v>2.894736842</v>
      </c>
      <c r="I313" s="107">
        <f t="shared" si="12"/>
        <v>1</v>
      </c>
    </row>
    <row r="314">
      <c r="C314" s="8"/>
      <c r="D314" s="104"/>
      <c r="E314" s="104"/>
      <c r="G314" s="14"/>
      <c r="H314" s="14"/>
      <c r="I314" s="14"/>
    </row>
    <row r="315">
      <c r="A315" s="37" t="s">
        <v>144</v>
      </c>
      <c r="B315" s="38"/>
      <c r="C315" s="38"/>
      <c r="D315" s="38"/>
      <c r="E315" s="38"/>
      <c r="F315" s="39"/>
      <c r="G315" s="14"/>
      <c r="H315" s="14"/>
      <c r="I315" s="14"/>
    </row>
    <row r="316">
      <c r="A316" s="37" t="s">
        <v>238</v>
      </c>
      <c r="B316" s="38"/>
      <c r="C316" s="38"/>
      <c r="D316" s="38"/>
      <c r="E316" s="38"/>
      <c r="F316" s="39"/>
      <c r="G316" s="14"/>
      <c r="H316" s="14"/>
      <c r="I316" s="14"/>
    </row>
    <row r="317">
      <c r="A317" s="37" t="s">
        <v>366</v>
      </c>
      <c r="B317" s="38"/>
      <c r="C317" s="38"/>
      <c r="D317" s="38"/>
      <c r="E317" s="38"/>
      <c r="F317" s="39"/>
      <c r="G317" s="14"/>
      <c r="H317" s="14"/>
      <c r="I317" s="14"/>
    </row>
    <row r="318">
      <c r="A318" s="37"/>
      <c r="B318" s="38"/>
      <c r="C318" s="38"/>
      <c r="D318" s="38"/>
      <c r="E318" s="38"/>
      <c r="F318" s="39"/>
      <c r="G318" s="14"/>
      <c r="H318" s="14"/>
      <c r="I318" s="14"/>
    </row>
    <row r="319">
      <c r="A319" s="1" t="s">
        <v>0</v>
      </c>
      <c r="B319" s="2" t="s">
        <v>380</v>
      </c>
      <c r="C319" s="2" t="s">
        <v>381</v>
      </c>
      <c r="D319" s="2" t="s">
        <v>382</v>
      </c>
      <c r="E319" s="2" t="s">
        <v>383</v>
      </c>
      <c r="F319" s="6" t="s">
        <v>384</v>
      </c>
      <c r="G319" s="14"/>
      <c r="H319" s="14"/>
      <c r="I319" s="14"/>
    </row>
    <row r="320">
      <c r="A320" s="28">
        <v>1.0</v>
      </c>
      <c r="B320" s="28">
        <v>11.0</v>
      </c>
      <c r="C320" s="28" t="s">
        <v>112</v>
      </c>
      <c r="D320" s="100">
        <v>16.0</v>
      </c>
      <c r="E320" s="100">
        <v>1.0</v>
      </c>
      <c r="F320" s="35"/>
      <c r="G320" s="14"/>
      <c r="H320" s="14"/>
      <c r="I320" s="14"/>
      <c r="J320" s="102" t="s">
        <v>385</v>
      </c>
      <c r="K320" s="109"/>
      <c r="L320" s="102"/>
    </row>
    <row r="321">
      <c r="A321" s="35"/>
      <c r="B321" s="35"/>
      <c r="C321" s="35"/>
      <c r="D321" s="100">
        <v>22.0</v>
      </c>
      <c r="E321" s="100">
        <v>1.0</v>
      </c>
      <c r="F321" s="35"/>
      <c r="G321" s="14"/>
      <c r="H321" s="14"/>
      <c r="I321" s="14"/>
    </row>
    <row r="322">
      <c r="A322" s="35"/>
      <c r="B322" s="35"/>
      <c r="C322" s="35"/>
      <c r="D322" s="100">
        <v>4.0</v>
      </c>
      <c r="E322" s="100">
        <v>1.0</v>
      </c>
      <c r="F322" s="35"/>
      <c r="G322" s="14"/>
      <c r="H322" s="14"/>
      <c r="I322" s="14"/>
    </row>
    <row r="323">
      <c r="A323" s="35"/>
      <c r="B323" s="35"/>
      <c r="C323" s="35"/>
      <c r="D323" s="100">
        <v>13.0</v>
      </c>
      <c r="E323" s="100">
        <v>1.0</v>
      </c>
      <c r="F323" s="35"/>
      <c r="G323" s="14"/>
      <c r="H323" s="14"/>
      <c r="I323" s="14"/>
    </row>
    <row r="324">
      <c r="A324" s="35"/>
      <c r="B324" s="35"/>
      <c r="C324" s="35"/>
      <c r="D324" s="100">
        <v>6.0</v>
      </c>
      <c r="E324" s="100">
        <v>1.0</v>
      </c>
      <c r="F324" s="35"/>
      <c r="G324" s="14"/>
      <c r="H324" s="14"/>
      <c r="I324" s="14"/>
    </row>
    <row r="325">
      <c r="A325" s="35"/>
      <c r="B325" s="35"/>
      <c r="C325" s="35"/>
      <c r="D325" s="100">
        <v>9.0</v>
      </c>
      <c r="E325" s="100">
        <v>1.0</v>
      </c>
      <c r="F325" s="35"/>
      <c r="G325" s="14"/>
      <c r="H325" s="14"/>
      <c r="I325" s="14"/>
    </row>
    <row r="326">
      <c r="A326" s="35"/>
      <c r="B326" s="35"/>
      <c r="C326" s="35"/>
      <c r="D326" s="100">
        <v>21.0</v>
      </c>
      <c r="E326" s="100">
        <v>1.0</v>
      </c>
      <c r="F326" s="35"/>
      <c r="G326" s="14"/>
      <c r="H326" s="14"/>
      <c r="I326" s="14"/>
    </row>
    <row r="327">
      <c r="A327" s="35"/>
      <c r="B327" s="35"/>
      <c r="C327" s="35"/>
      <c r="D327" s="100">
        <v>4.0</v>
      </c>
      <c r="E327" s="100">
        <v>1.0</v>
      </c>
      <c r="F327" s="35"/>
      <c r="G327" s="14"/>
      <c r="H327" s="14"/>
      <c r="I327" s="14"/>
    </row>
    <row r="328">
      <c r="A328" s="35"/>
      <c r="B328" s="35"/>
      <c r="C328" s="35"/>
      <c r="D328" s="100">
        <v>12.0</v>
      </c>
      <c r="E328" s="100">
        <v>1.0</v>
      </c>
      <c r="F328" s="35"/>
      <c r="G328" s="14"/>
      <c r="H328" s="14"/>
      <c r="I328" s="14"/>
    </row>
    <row r="329">
      <c r="A329" s="35"/>
      <c r="B329" s="35"/>
      <c r="C329" s="35"/>
      <c r="D329" s="100">
        <v>12.0</v>
      </c>
      <c r="E329" s="100">
        <v>1.0</v>
      </c>
      <c r="F329" s="35"/>
      <c r="G329" s="14"/>
      <c r="H329" s="14"/>
      <c r="I329" s="14"/>
    </row>
    <row r="330">
      <c r="A330" s="35"/>
      <c r="B330" s="35"/>
      <c r="C330" s="35"/>
      <c r="D330" s="100">
        <v>3.0</v>
      </c>
      <c r="E330" s="100">
        <v>1.0</v>
      </c>
      <c r="F330" s="35"/>
      <c r="G330" s="14">
        <f>count(D320:D330)</f>
        <v>11</v>
      </c>
      <c r="H330" s="14">
        <f>average(D320:D330)</f>
        <v>11.09090909</v>
      </c>
      <c r="I330" s="21">
        <v>1.0</v>
      </c>
    </row>
    <row r="331">
      <c r="A331" s="28">
        <v>2.0</v>
      </c>
      <c r="B331" s="35"/>
      <c r="C331" s="28" t="s">
        <v>112</v>
      </c>
      <c r="D331" s="100">
        <v>12.0</v>
      </c>
      <c r="E331" s="100">
        <v>1.0</v>
      </c>
      <c r="F331" s="35"/>
      <c r="G331" s="14"/>
      <c r="H331" s="14"/>
      <c r="I331" s="14"/>
    </row>
    <row r="332">
      <c r="A332" s="35"/>
      <c r="B332" s="35"/>
      <c r="C332" s="35"/>
      <c r="D332" s="81">
        <v>5.0</v>
      </c>
      <c r="E332" s="100">
        <v>1.0</v>
      </c>
      <c r="F332" s="35"/>
      <c r="G332" s="14"/>
      <c r="H332" s="14"/>
      <c r="I332" s="14"/>
    </row>
    <row r="333">
      <c r="A333" s="35"/>
      <c r="B333" s="35"/>
      <c r="C333" s="35"/>
      <c r="D333" s="81">
        <v>4.0</v>
      </c>
      <c r="E333" s="100">
        <v>1.0</v>
      </c>
      <c r="F333" s="35"/>
      <c r="G333" s="14"/>
      <c r="H333" s="14"/>
      <c r="I333" s="14"/>
    </row>
    <row r="334">
      <c r="A334" s="35"/>
      <c r="B334" s="35"/>
      <c r="C334" s="35"/>
      <c r="D334" s="81">
        <v>8.0</v>
      </c>
      <c r="E334" s="100">
        <v>1.0</v>
      </c>
      <c r="F334" s="35"/>
      <c r="G334" s="14">
        <f>count(D331:D334)</f>
        <v>4</v>
      </c>
      <c r="H334" s="14">
        <f>average(D331:D334)</f>
        <v>7.25</v>
      </c>
      <c r="I334" s="21">
        <v>1.0</v>
      </c>
    </row>
    <row r="335">
      <c r="A335" s="28">
        <v>3.0</v>
      </c>
      <c r="B335" s="35"/>
      <c r="C335" s="28" t="s">
        <v>112</v>
      </c>
      <c r="D335" s="100">
        <v>4.0</v>
      </c>
      <c r="E335" s="100">
        <v>1.0</v>
      </c>
      <c r="F335" s="35"/>
      <c r="G335" s="14"/>
      <c r="H335" s="14"/>
      <c r="I335" s="14"/>
    </row>
    <row r="336">
      <c r="A336" s="35"/>
      <c r="B336" s="35"/>
      <c r="C336" s="35"/>
      <c r="D336" s="100">
        <v>2.0</v>
      </c>
      <c r="E336" s="100">
        <v>1.0</v>
      </c>
      <c r="F336" s="35"/>
      <c r="G336" s="14"/>
      <c r="H336" s="14"/>
      <c r="I336" s="14"/>
    </row>
    <row r="337">
      <c r="A337" s="35"/>
      <c r="B337" s="35"/>
      <c r="C337" s="35"/>
      <c r="D337" s="100">
        <v>3.0</v>
      </c>
      <c r="E337" s="100">
        <v>1.0</v>
      </c>
      <c r="F337" s="35"/>
      <c r="G337" s="14"/>
      <c r="H337" s="14"/>
      <c r="I337" s="14"/>
    </row>
    <row r="338">
      <c r="A338" s="35"/>
      <c r="B338" s="35"/>
      <c r="C338" s="35"/>
      <c r="D338" s="100">
        <v>4.0</v>
      </c>
      <c r="E338" s="100">
        <v>1.0</v>
      </c>
      <c r="F338" s="35"/>
      <c r="G338" s="14"/>
      <c r="H338" s="14"/>
      <c r="I338" s="14"/>
    </row>
    <row r="339">
      <c r="A339" s="35"/>
      <c r="B339" s="35"/>
      <c r="C339" s="35"/>
      <c r="D339" s="100">
        <v>4.0</v>
      </c>
      <c r="E339" s="100">
        <v>1.0</v>
      </c>
      <c r="F339" s="35"/>
      <c r="G339" s="14"/>
      <c r="H339" s="14"/>
      <c r="I339" s="14"/>
    </row>
    <row r="340">
      <c r="A340" s="35"/>
      <c r="B340" s="35"/>
      <c r="C340" s="35"/>
      <c r="D340" s="100">
        <v>3.0</v>
      </c>
      <c r="E340" s="100">
        <v>1.0</v>
      </c>
      <c r="F340" s="35"/>
      <c r="G340" s="14"/>
      <c r="H340" s="14"/>
      <c r="I340" s="14"/>
    </row>
    <row r="341">
      <c r="A341" s="35"/>
      <c r="B341" s="35"/>
      <c r="C341" s="35"/>
      <c r="D341" s="100">
        <v>6.0</v>
      </c>
      <c r="E341" s="100">
        <v>1.0</v>
      </c>
      <c r="F341" s="35"/>
      <c r="G341" s="14"/>
      <c r="H341" s="14"/>
      <c r="I341" s="14"/>
    </row>
    <row r="342">
      <c r="A342" s="35"/>
      <c r="B342" s="35"/>
      <c r="C342" s="35"/>
      <c r="D342" s="100">
        <v>5.0</v>
      </c>
      <c r="E342" s="100">
        <v>1.0</v>
      </c>
      <c r="F342" s="35"/>
      <c r="G342" s="14"/>
      <c r="H342" s="14"/>
      <c r="I342" s="14"/>
    </row>
    <row r="343">
      <c r="A343" s="35"/>
      <c r="B343" s="35"/>
      <c r="C343" s="35"/>
      <c r="D343" s="100">
        <v>3.0</v>
      </c>
      <c r="E343" s="100">
        <v>1.0</v>
      </c>
      <c r="F343" s="35"/>
      <c r="G343" s="14"/>
      <c r="H343" s="14"/>
      <c r="I343" s="14"/>
    </row>
    <row r="344">
      <c r="A344" s="35"/>
      <c r="B344" s="35"/>
      <c r="C344" s="35"/>
      <c r="D344" s="100">
        <v>2.0</v>
      </c>
      <c r="E344" s="100">
        <v>1.0</v>
      </c>
      <c r="F344" s="35"/>
      <c r="G344" s="14"/>
      <c r="H344" s="14"/>
      <c r="I344" s="14"/>
    </row>
    <row r="345">
      <c r="A345" s="35"/>
      <c r="B345" s="35"/>
      <c r="C345" s="35"/>
      <c r="D345" s="100">
        <v>3.0</v>
      </c>
      <c r="E345" s="100">
        <v>1.0</v>
      </c>
      <c r="F345" s="35"/>
      <c r="G345" s="14"/>
      <c r="H345" s="14"/>
      <c r="I345" s="14"/>
    </row>
    <row r="346">
      <c r="A346" s="35"/>
      <c r="B346" s="35"/>
      <c r="C346" s="35"/>
      <c r="D346" s="100">
        <v>1.0</v>
      </c>
      <c r="E346" s="100">
        <v>1.0</v>
      </c>
      <c r="F346" s="35"/>
      <c r="G346" s="14">
        <f>count(D335:D346)</f>
        <v>12</v>
      </c>
      <c r="H346" s="14">
        <f>average(D335:D346)</f>
        <v>3.333333333</v>
      </c>
      <c r="I346" s="21">
        <v>1.0</v>
      </c>
    </row>
    <row r="347">
      <c r="A347" s="28">
        <v>4.0</v>
      </c>
      <c r="B347" s="28">
        <v>11.0</v>
      </c>
      <c r="C347" s="28" t="s">
        <v>112</v>
      </c>
      <c r="D347" s="100">
        <v>3.0</v>
      </c>
      <c r="E347" s="100">
        <v>1.0</v>
      </c>
      <c r="F347" s="35"/>
      <c r="G347" s="14"/>
      <c r="H347" s="14"/>
      <c r="I347" s="14"/>
    </row>
    <row r="348">
      <c r="A348" s="35"/>
      <c r="B348" s="35"/>
      <c r="C348" s="35"/>
      <c r="D348" s="100">
        <v>3.0</v>
      </c>
      <c r="E348" s="100">
        <v>1.0</v>
      </c>
      <c r="F348" s="35"/>
      <c r="G348" s="14"/>
      <c r="H348" s="14"/>
      <c r="I348" s="14"/>
    </row>
    <row r="349">
      <c r="A349" s="35"/>
      <c r="B349" s="35"/>
      <c r="C349" s="35"/>
      <c r="D349" s="100">
        <v>4.0</v>
      </c>
      <c r="E349" s="100">
        <v>1.0</v>
      </c>
      <c r="F349" s="35"/>
      <c r="G349" s="14"/>
      <c r="H349" s="14"/>
      <c r="I349" s="14"/>
    </row>
    <row r="350">
      <c r="A350" s="35"/>
      <c r="B350" s="35"/>
      <c r="C350" s="35"/>
      <c r="D350" s="100">
        <v>5.0</v>
      </c>
      <c r="E350" s="100">
        <v>1.0</v>
      </c>
      <c r="F350" s="35"/>
      <c r="G350" s="14"/>
      <c r="H350" s="14"/>
      <c r="I350" s="14"/>
    </row>
    <row r="351">
      <c r="A351" s="35"/>
      <c r="B351" s="35"/>
      <c r="C351" s="35"/>
      <c r="D351" s="100">
        <v>4.0</v>
      </c>
      <c r="E351" s="100">
        <v>1.0</v>
      </c>
      <c r="F351" s="35"/>
      <c r="G351" s="14"/>
      <c r="H351" s="14"/>
      <c r="I351" s="14"/>
    </row>
    <row r="352">
      <c r="A352" s="35"/>
      <c r="B352" s="35"/>
      <c r="C352" s="35"/>
      <c r="D352" s="100">
        <v>3.0</v>
      </c>
      <c r="E352" s="100">
        <v>1.0</v>
      </c>
      <c r="F352" s="35"/>
      <c r="G352" s="14"/>
      <c r="H352" s="14"/>
      <c r="I352" s="14"/>
    </row>
    <row r="353">
      <c r="A353" s="35"/>
      <c r="B353" s="35"/>
      <c r="C353" s="35"/>
      <c r="D353" s="100">
        <v>3.0</v>
      </c>
      <c r="E353" s="100">
        <v>1.0</v>
      </c>
      <c r="F353" s="35"/>
      <c r="G353" s="14"/>
      <c r="H353" s="14"/>
      <c r="I353" s="14"/>
    </row>
    <row r="354">
      <c r="A354" s="35"/>
      <c r="B354" s="35"/>
      <c r="C354" s="35"/>
      <c r="D354" s="100">
        <v>4.0</v>
      </c>
      <c r="E354" s="100">
        <v>1.0</v>
      </c>
      <c r="F354" s="35"/>
      <c r="G354" s="14"/>
      <c r="H354" s="14"/>
      <c r="I354" s="14"/>
    </row>
    <row r="355">
      <c r="A355" s="35"/>
      <c r="B355" s="35"/>
      <c r="C355" s="35"/>
      <c r="D355" s="100">
        <v>2.0</v>
      </c>
      <c r="E355" s="100">
        <v>1.0</v>
      </c>
      <c r="F355" s="35"/>
      <c r="G355" s="14"/>
      <c r="H355" s="14"/>
      <c r="I355" s="14"/>
    </row>
    <row r="356">
      <c r="A356" s="35"/>
      <c r="B356" s="35"/>
      <c r="C356" s="35"/>
      <c r="D356" s="100">
        <v>2.0</v>
      </c>
      <c r="E356" s="100">
        <v>1.0</v>
      </c>
      <c r="F356" s="35"/>
      <c r="G356" s="14"/>
      <c r="H356" s="14"/>
      <c r="I356" s="14"/>
    </row>
    <row r="357">
      <c r="A357" s="35"/>
      <c r="B357" s="35"/>
      <c r="C357" s="35"/>
      <c r="D357" s="100">
        <v>3.0</v>
      </c>
      <c r="E357" s="100">
        <v>1.0</v>
      </c>
      <c r="F357" s="35"/>
      <c r="G357" s="14"/>
      <c r="H357" s="14"/>
      <c r="I357" s="14"/>
    </row>
    <row r="358">
      <c r="A358" s="35"/>
      <c r="B358" s="35"/>
      <c r="C358" s="35"/>
      <c r="D358" s="100">
        <v>5.0</v>
      </c>
      <c r="E358" s="100">
        <v>1.0</v>
      </c>
      <c r="F358" s="35"/>
      <c r="G358" s="14"/>
      <c r="H358" s="14"/>
      <c r="I358" s="14"/>
    </row>
    <row r="359">
      <c r="A359" s="35"/>
      <c r="B359" s="35"/>
      <c r="C359" s="35"/>
      <c r="D359" s="100">
        <v>1.0</v>
      </c>
      <c r="E359" s="100">
        <v>1.0</v>
      </c>
      <c r="F359" s="35"/>
      <c r="G359" s="14"/>
      <c r="H359" s="14"/>
      <c r="I359" s="14"/>
    </row>
    <row r="360">
      <c r="A360" s="35"/>
      <c r="B360" s="35"/>
      <c r="C360" s="35"/>
      <c r="D360" s="100">
        <v>1.0</v>
      </c>
      <c r="E360" s="100">
        <v>1.0</v>
      </c>
      <c r="F360" s="35"/>
      <c r="G360" s="14">
        <f>count(D347:D360)</f>
        <v>14</v>
      </c>
      <c r="H360" s="14">
        <f>average(D347:D360)</f>
        <v>3.071428571</v>
      </c>
      <c r="I360" s="21">
        <v>1.0</v>
      </c>
      <c r="J360" s="8"/>
      <c r="K360" s="8"/>
      <c r="L360" s="8"/>
    </row>
    <row r="361">
      <c r="A361" s="28">
        <v>7.0</v>
      </c>
      <c r="B361" s="28">
        <v>9.0</v>
      </c>
      <c r="C361" s="28" t="s">
        <v>112</v>
      </c>
      <c r="D361" s="100">
        <v>6.0</v>
      </c>
      <c r="E361" s="100">
        <v>1.0</v>
      </c>
      <c r="F361" s="35"/>
      <c r="G361" s="14"/>
      <c r="H361" s="14"/>
      <c r="I361" s="14"/>
    </row>
    <row r="362">
      <c r="A362" s="35"/>
      <c r="B362" s="35"/>
      <c r="C362" s="35"/>
      <c r="D362" s="100">
        <v>7.0</v>
      </c>
      <c r="E362" s="100">
        <v>1.0</v>
      </c>
      <c r="F362" s="35"/>
      <c r="G362" s="14"/>
      <c r="H362" s="14"/>
      <c r="I362" s="14"/>
    </row>
    <row r="363">
      <c r="A363" s="35"/>
      <c r="B363" s="35"/>
      <c r="C363" s="35"/>
      <c r="D363" s="100">
        <v>23.0</v>
      </c>
      <c r="E363" s="100">
        <v>1.0</v>
      </c>
      <c r="F363" s="35"/>
      <c r="G363" s="14"/>
      <c r="H363" s="14"/>
      <c r="I363" s="14"/>
    </row>
    <row r="364">
      <c r="A364" s="35"/>
      <c r="B364" s="35"/>
      <c r="C364" s="35"/>
      <c r="D364" s="100">
        <v>26.0</v>
      </c>
      <c r="E364" s="100">
        <v>1.0</v>
      </c>
      <c r="F364" s="35"/>
      <c r="G364" s="14"/>
      <c r="H364" s="14"/>
      <c r="I364" s="14"/>
    </row>
    <row r="365">
      <c r="A365" s="35"/>
      <c r="B365" s="35"/>
      <c r="C365" s="35"/>
      <c r="D365" s="100">
        <v>31.0</v>
      </c>
      <c r="E365" s="100">
        <v>1.0</v>
      </c>
      <c r="F365" s="35"/>
      <c r="G365" s="14"/>
      <c r="H365" s="14"/>
      <c r="I365" s="14"/>
    </row>
    <row r="366">
      <c r="A366" s="35"/>
      <c r="B366" s="35"/>
      <c r="C366" s="35"/>
      <c r="D366" s="100">
        <v>33.0</v>
      </c>
      <c r="E366" s="100">
        <v>1.0</v>
      </c>
      <c r="F366" s="35"/>
      <c r="G366" s="14"/>
      <c r="H366" s="14"/>
      <c r="I366" s="14"/>
    </row>
    <row r="367">
      <c r="A367" s="35"/>
      <c r="B367" s="35"/>
      <c r="C367" s="35"/>
      <c r="D367" s="100">
        <v>9.0</v>
      </c>
      <c r="E367" s="100">
        <v>1.0</v>
      </c>
      <c r="F367" s="35"/>
      <c r="G367" s="14">
        <f>count(D361:D367)</f>
        <v>7</v>
      </c>
      <c r="H367" s="14">
        <f>average(D361:D367)</f>
        <v>19.28571429</v>
      </c>
      <c r="I367" s="21">
        <v>1.0</v>
      </c>
    </row>
    <row r="368">
      <c r="A368" s="28">
        <v>8.0</v>
      </c>
      <c r="B368" s="28">
        <v>10.0</v>
      </c>
      <c r="C368" s="28" t="s">
        <v>112</v>
      </c>
      <c r="D368" s="100">
        <v>13.0</v>
      </c>
      <c r="E368" s="100">
        <v>1.0</v>
      </c>
      <c r="F368" s="110" t="s">
        <v>386</v>
      </c>
      <c r="G368" s="22">
        <f>1</f>
        <v>1</v>
      </c>
      <c r="H368" s="14">
        <f>D368</f>
        <v>13</v>
      </c>
      <c r="I368" s="21">
        <v>1.0</v>
      </c>
    </row>
    <row r="369">
      <c r="A369" s="28">
        <v>9.0</v>
      </c>
      <c r="B369" s="28"/>
      <c r="C369" s="28" t="s">
        <v>112</v>
      </c>
      <c r="D369" s="100">
        <v>6.0</v>
      </c>
      <c r="E369" s="100">
        <v>1.0</v>
      </c>
      <c r="F369" s="35"/>
      <c r="G369" s="14"/>
      <c r="H369" s="14"/>
      <c r="I369" s="14"/>
    </row>
    <row r="370">
      <c r="A370" s="28"/>
      <c r="B370" s="28"/>
      <c r="C370" s="28"/>
      <c r="D370" s="100">
        <v>4.0</v>
      </c>
      <c r="E370" s="100">
        <v>1.0</v>
      </c>
      <c r="F370" s="35"/>
      <c r="G370" s="14"/>
      <c r="H370" s="14"/>
      <c r="I370" s="14"/>
    </row>
    <row r="371">
      <c r="A371" s="28"/>
      <c r="B371" s="28"/>
      <c r="C371" s="28"/>
      <c r="D371" s="100">
        <v>2.0</v>
      </c>
      <c r="E371" s="100">
        <v>1.0</v>
      </c>
      <c r="F371" s="35"/>
      <c r="G371" s="14"/>
      <c r="H371" s="14"/>
      <c r="I371" s="14"/>
    </row>
    <row r="372">
      <c r="A372" s="28"/>
      <c r="B372" s="28"/>
      <c r="C372" s="28"/>
      <c r="D372" s="100">
        <v>2.0</v>
      </c>
      <c r="E372" s="100">
        <v>1.0</v>
      </c>
      <c r="F372" s="35"/>
      <c r="G372" s="14"/>
      <c r="H372" s="14"/>
      <c r="I372" s="14"/>
    </row>
    <row r="373">
      <c r="A373" s="28"/>
      <c r="B373" s="28"/>
      <c r="C373" s="28"/>
      <c r="D373" s="100">
        <v>2.0</v>
      </c>
      <c r="E373" s="100">
        <v>1.0</v>
      </c>
      <c r="F373" s="35"/>
      <c r="G373" s="107">
        <f>COUNT(D369:D373)</f>
        <v>5</v>
      </c>
      <c r="H373" s="107">
        <f t="shared" ref="H373:I373" si="13">AVERAGE(D369:D373)</f>
        <v>3.2</v>
      </c>
      <c r="I373" s="107">
        <f t="shared" si="13"/>
        <v>1</v>
      </c>
    </row>
    <row r="374">
      <c r="A374" s="28">
        <v>11.0</v>
      </c>
      <c r="B374" s="28">
        <v>7.0</v>
      </c>
      <c r="C374" s="28" t="s">
        <v>112</v>
      </c>
      <c r="D374" s="100">
        <v>2.0</v>
      </c>
      <c r="E374" s="100">
        <v>1.0</v>
      </c>
      <c r="F374" s="35"/>
      <c r="G374" s="14"/>
      <c r="H374" s="14"/>
      <c r="I374" s="14"/>
    </row>
    <row r="375">
      <c r="A375" s="28"/>
      <c r="B375" s="35"/>
      <c r="C375" s="35"/>
      <c r="D375" s="100">
        <v>3.0</v>
      </c>
      <c r="E375" s="100">
        <v>1.0</v>
      </c>
      <c r="F375" s="35"/>
      <c r="G375" s="14"/>
      <c r="H375" s="14"/>
      <c r="I375" s="14"/>
    </row>
    <row r="376">
      <c r="A376" s="35"/>
      <c r="B376" s="35"/>
      <c r="C376" s="35"/>
      <c r="D376" s="100">
        <v>2.0</v>
      </c>
      <c r="E376" s="100">
        <v>1.0</v>
      </c>
      <c r="F376" s="35"/>
      <c r="G376" s="14"/>
      <c r="H376" s="14"/>
      <c r="I376" s="14"/>
    </row>
    <row r="377">
      <c r="A377" s="35"/>
      <c r="B377" s="35"/>
      <c r="C377" s="35"/>
      <c r="D377" s="100">
        <v>1.0</v>
      </c>
      <c r="E377" s="100">
        <v>1.0</v>
      </c>
      <c r="F377" s="35"/>
      <c r="G377" s="14"/>
      <c r="H377" s="14"/>
      <c r="I377" s="14"/>
    </row>
    <row r="378">
      <c r="A378" s="35"/>
      <c r="B378" s="35"/>
      <c r="C378" s="35"/>
      <c r="D378" s="100">
        <v>5.0</v>
      </c>
      <c r="E378" s="100">
        <v>1.0</v>
      </c>
      <c r="F378" s="35"/>
      <c r="G378" s="14"/>
      <c r="H378" s="14"/>
      <c r="I378" s="14"/>
    </row>
    <row r="379">
      <c r="A379" s="35"/>
      <c r="B379" s="35"/>
      <c r="C379" s="35"/>
      <c r="D379" s="100">
        <v>1.0</v>
      </c>
      <c r="E379" s="100">
        <v>1.0</v>
      </c>
      <c r="F379" s="35"/>
      <c r="G379" s="14"/>
      <c r="H379" s="14"/>
      <c r="I379" s="14"/>
    </row>
    <row r="380">
      <c r="A380" s="35"/>
      <c r="B380" s="35"/>
      <c r="C380" s="35"/>
      <c r="D380" s="100">
        <v>1.0</v>
      </c>
      <c r="E380" s="100">
        <v>1.0</v>
      </c>
      <c r="F380" s="35"/>
      <c r="G380" s="14">
        <f>count(D374:D380)</f>
        <v>7</v>
      </c>
      <c r="H380" s="14">
        <f>average(D374:D380)</f>
        <v>2.142857143</v>
      </c>
      <c r="I380" s="21">
        <v>1.0</v>
      </c>
    </row>
    <row r="381">
      <c r="D381" s="104"/>
      <c r="E381" s="104"/>
      <c r="G381" s="14"/>
      <c r="H381" s="14"/>
      <c r="I381" s="14"/>
    </row>
    <row r="382">
      <c r="A382" s="37" t="s">
        <v>144</v>
      </c>
      <c r="B382" s="38"/>
      <c r="C382" s="38"/>
      <c r="D382" s="38"/>
      <c r="E382" s="38"/>
      <c r="F382" s="39"/>
      <c r="G382" s="14"/>
      <c r="H382" s="14"/>
      <c r="I382" s="14"/>
    </row>
    <row r="383">
      <c r="A383" s="37" t="s">
        <v>294</v>
      </c>
      <c r="B383" s="38"/>
      <c r="C383" s="38"/>
      <c r="D383" s="38"/>
      <c r="E383" s="38"/>
      <c r="F383" s="39"/>
      <c r="G383" s="14"/>
      <c r="H383" s="14"/>
      <c r="I383" s="14"/>
    </row>
    <row r="384">
      <c r="A384" s="37" t="s">
        <v>366</v>
      </c>
      <c r="B384" s="38"/>
      <c r="C384" s="38"/>
      <c r="D384" s="38"/>
      <c r="E384" s="38"/>
      <c r="F384" s="39"/>
      <c r="G384" s="14"/>
      <c r="H384" s="14"/>
      <c r="I384" s="14"/>
    </row>
    <row r="385">
      <c r="A385" s="37"/>
      <c r="B385" s="38"/>
      <c r="C385" s="38"/>
      <c r="D385" s="38"/>
      <c r="E385" s="38"/>
      <c r="F385" s="39"/>
      <c r="G385" s="14"/>
      <c r="H385" s="14"/>
      <c r="I385" s="14"/>
    </row>
    <row r="386">
      <c r="A386" s="1" t="s">
        <v>0</v>
      </c>
      <c r="B386" s="2" t="s">
        <v>387</v>
      </c>
      <c r="C386" s="2" t="s">
        <v>388</v>
      </c>
      <c r="D386" s="2" t="s">
        <v>389</v>
      </c>
      <c r="E386" s="2" t="s">
        <v>390</v>
      </c>
      <c r="F386" s="6" t="s">
        <v>391</v>
      </c>
      <c r="G386" s="14"/>
      <c r="H386" s="14"/>
      <c r="I386" s="14"/>
    </row>
    <row r="387">
      <c r="A387" s="28">
        <v>1.0</v>
      </c>
      <c r="B387" s="28">
        <v>4.0</v>
      </c>
      <c r="C387" s="28" t="s">
        <v>114</v>
      </c>
      <c r="D387" s="100">
        <v>20.0</v>
      </c>
      <c r="E387" s="111"/>
      <c r="F387" s="35"/>
      <c r="G387" s="14"/>
      <c r="H387" s="14"/>
      <c r="I387" s="14"/>
    </row>
    <row r="388">
      <c r="A388" s="35"/>
      <c r="B388" s="35"/>
      <c r="C388" s="35"/>
      <c r="D388" s="100">
        <v>15.0</v>
      </c>
      <c r="E388" s="111"/>
      <c r="F388" s="35"/>
      <c r="G388" s="14"/>
      <c r="H388" s="14"/>
      <c r="I388" s="14"/>
    </row>
    <row r="389">
      <c r="A389" s="35"/>
      <c r="B389" s="35"/>
      <c r="C389" s="35"/>
      <c r="D389" s="100">
        <v>15.0</v>
      </c>
      <c r="E389" s="111"/>
      <c r="F389" s="35"/>
      <c r="G389" s="14"/>
      <c r="H389" s="14"/>
      <c r="I389" s="14"/>
    </row>
    <row r="390">
      <c r="A390" s="35"/>
      <c r="B390" s="35"/>
      <c r="C390" s="35"/>
      <c r="D390" s="100">
        <v>14.0</v>
      </c>
      <c r="E390" s="111"/>
      <c r="F390" s="35"/>
      <c r="G390" s="14">
        <f>count(D387:D390)</f>
        <v>4</v>
      </c>
      <c r="H390" s="14">
        <f>average(D387:D390)</f>
        <v>16</v>
      </c>
      <c r="I390" s="14"/>
    </row>
    <row r="391">
      <c r="A391" s="28">
        <v>2.0</v>
      </c>
      <c r="B391" s="28">
        <v>7.0</v>
      </c>
      <c r="C391" s="28" t="s">
        <v>114</v>
      </c>
      <c r="D391" s="100">
        <v>16.0</v>
      </c>
      <c r="E391" s="111"/>
      <c r="F391" s="35"/>
      <c r="G391" s="14"/>
      <c r="H391" s="14"/>
      <c r="I391" s="14"/>
    </row>
    <row r="392">
      <c r="A392" s="35"/>
      <c r="B392" s="35"/>
      <c r="C392" s="35"/>
      <c r="D392" s="100">
        <v>23.0</v>
      </c>
      <c r="E392" s="111"/>
      <c r="F392" s="35"/>
      <c r="G392" s="14"/>
      <c r="H392" s="14"/>
      <c r="I392" s="14"/>
    </row>
    <row r="393">
      <c r="A393" s="35"/>
      <c r="B393" s="35"/>
      <c r="C393" s="35"/>
      <c r="D393" s="100">
        <v>16.0</v>
      </c>
      <c r="E393" s="111"/>
      <c r="F393" s="35"/>
      <c r="G393" s="14"/>
      <c r="H393" s="14"/>
      <c r="I393" s="14"/>
    </row>
    <row r="394">
      <c r="A394" s="35"/>
      <c r="B394" s="35"/>
      <c r="C394" s="35"/>
      <c r="D394" s="100">
        <v>15.0</v>
      </c>
      <c r="E394" s="111"/>
      <c r="F394" s="35"/>
      <c r="G394" s="14"/>
      <c r="H394" s="14"/>
      <c r="I394" s="14"/>
    </row>
    <row r="395">
      <c r="A395" s="35"/>
      <c r="B395" s="35"/>
      <c r="C395" s="35"/>
      <c r="D395" s="100">
        <v>28.0</v>
      </c>
      <c r="E395" s="111"/>
      <c r="F395" s="35"/>
      <c r="G395" s="14">
        <f>count(D391:D395)</f>
        <v>5</v>
      </c>
      <c r="H395" s="14">
        <f>average(D391:D395)</f>
        <v>19.6</v>
      </c>
      <c r="I395" s="14"/>
    </row>
    <row r="396">
      <c r="A396" s="28">
        <v>3.0</v>
      </c>
      <c r="B396" s="35"/>
      <c r="C396" s="28" t="s">
        <v>114</v>
      </c>
      <c r="D396" s="100">
        <v>29.0</v>
      </c>
      <c r="E396" s="111"/>
      <c r="F396" s="35"/>
      <c r="G396" s="14"/>
      <c r="H396" s="14"/>
      <c r="I396" s="14"/>
    </row>
    <row r="397">
      <c r="A397" s="28"/>
      <c r="B397" s="35"/>
      <c r="C397" s="28"/>
      <c r="D397" s="100">
        <v>9.0</v>
      </c>
      <c r="E397" s="111"/>
      <c r="F397" s="35"/>
      <c r="G397" s="14"/>
      <c r="H397" s="14"/>
      <c r="I397" s="14"/>
    </row>
    <row r="398">
      <c r="A398" s="28"/>
      <c r="B398" s="35"/>
      <c r="C398" s="28"/>
      <c r="D398" s="100">
        <v>11.0</v>
      </c>
      <c r="E398" s="111"/>
      <c r="F398" s="35"/>
      <c r="G398" s="14"/>
      <c r="H398" s="14"/>
      <c r="I398" s="14"/>
    </row>
    <row r="399">
      <c r="A399" s="28"/>
      <c r="B399" s="35"/>
      <c r="C399" s="28"/>
      <c r="D399" s="100">
        <v>13.0</v>
      </c>
      <c r="E399" s="111"/>
      <c r="F399" s="35"/>
      <c r="G399" s="14"/>
      <c r="H399" s="14"/>
      <c r="I399" s="14"/>
    </row>
    <row r="400">
      <c r="A400" s="28"/>
      <c r="B400" s="35"/>
      <c r="C400" s="28"/>
      <c r="D400" s="100">
        <v>9.0</v>
      </c>
      <c r="E400" s="111"/>
      <c r="F400" s="35"/>
      <c r="G400" s="14"/>
      <c r="H400" s="14"/>
      <c r="I400" s="14"/>
    </row>
    <row r="401">
      <c r="A401" s="28"/>
      <c r="B401" s="35"/>
      <c r="C401" s="28"/>
      <c r="D401" s="100">
        <v>8.0</v>
      </c>
      <c r="E401" s="111"/>
      <c r="F401" s="35"/>
      <c r="G401" s="14"/>
      <c r="H401" s="14"/>
      <c r="I401" s="14"/>
    </row>
    <row r="402">
      <c r="A402" s="28"/>
      <c r="B402" s="35"/>
      <c r="C402" s="28"/>
      <c r="D402" s="100">
        <v>6.0</v>
      </c>
      <c r="E402" s="111"/>
      <c r="F402" s="35"/>
      <c r="G402" s="14"/>
      <c r="H402" s="14"/>
      <c r="I402" s="14"/>
    </row>
    <row r="403">
      <c r="A403" s="28"/>
      <c r="B403" s="35"/>
      <c r="C403" s="28"/>
      <c r="D403" s="100">
        <v>8.0</v>
      </c>
      <c r="E403" s="111"/>
      <c r="F403" s="35"/>
      <c r="G403" s="14"/>
      <c r="H403" s="14"/>
      <c r="I403" s="14"/>
    </row>
    <row r="404">
      <c r="A404" s="28"/>
      <c r="B404" s="35"/>
      <c r="C404" s="28"/>
      <c r="D404" s="100">
        <v>4.0</v>
      </c>
      <c r="E404" s="111"/>
      <c r="F404" s="35"/>
      <c r="G404" s="107">
        <f>(COUNT(D396:D404))</f>
        <v>9</v>
      </c>
      <c r="H404" s="107">
        <f>average(D396:D404)</f>
        <v>10.77777778</v>
      </c>
      <c r="I404" s="14"/>
    </row>
    <row r="405">
      <c r="A405" s="28">
        <v>4.0</v>
      </c>
      <c r="B405" s="35"/>
      <c r="C405" s="28" t="s">
        <v>114</v>
      </c>
      <c r="D405" s="100">
        <v>8.0</v>
      </c>
      <c r="E405" s="111"/>
      <c r="F405" s="35"/>
      <c r="G405" s="14"/>
      <c r="H405" s="14"/>
      <c r="I405" s="14"/>
    </row>
    <row r="406">
      <c r="A406" s="35"/>
      <c r="B406" s="35"/>
      <c r="C406" s="35"/>
      <c r="D406" s="100">
        <v>8.0</v>
      </c>
      <c r="E406" s="111"/>
      <c r="F406" s="35"/>
      <c r="G406" s="14"/>
      <c r="H406" s="14"/>
      <c r="I406" s="14"/>
    </row>
    <row r="407">
      <c r="A407" s="35"/>
      <c r="B407" s="35"/>
      <c r="C407" s="35"/>
      <c r="D407" s="100">
        <v>9.0</v>
      </c>
      <c r="E407" s="111"/>
      <c r="F407" s="35"/>
      <c r="G407" s="14"/>
      <c r="H407" s="14"/>
      <c r="I407" s="14"/>
    </row>
    <row r="408">
      <c r="A408" s="35"/>
      <c r="B408" s="35"/>
      <c r="C408" s="35"/>
      <c r="D408" s="100">
        <v>17.0</v>
      </c>
      <c r="E408" s="111"/>
      <c r="F408" s="35"/>
      <c r="G408" s="14"/>
      <c r="H408" s="14"/>
      <c r="I408" s="14"/>
    </row>
    <row r="409">
      <c r="A409" s="35"/>
      <c r="B409" s="35"/>
      <c r="C409" s="35"/>
      <c r="D409" s="100">
        <v>16.0</v>
      </c>
      <c r="E409" s="111"/>
      <c r="F409" s="35"/>
      <c r="G409" s="14"/>
      <c r="H409" s="14"/>
      <c r="I409" s="14"/>
    </row>
    <row r="410">
      <c r="A410" s="35"/>
      <c r="B410" s="35"/>
      <c r="C410" s="35"/>
      <c r="D410" s="100">
        <v>5.0</v>
      </c>
      <c r="E410" s="111"/>
      <c r="F410" s="35"/>
      <c r="G410" s="14"/>
      <c r="H410" s="14"/>
      <c r="I410" s="14"/>
    </row>
    <row r="411">
      <c r="A411" s="35"/>
      <c r="B411" s="35"/>
      <c r="C411" s="35"/>
      <c r="D411" s="100">
        <v>9.0</v>
      </c>
      <c r="E411" s="111"/>
      <c r="F411" s="35"/>
      <c r="G411" s="14"/>
      <c r="H411" s="14"/>
      <c r="I411" s="14"/>
    </row>
    <row r="412">
      <c r="A412" s="35"/>
      <c r="B412" s="35"/>
      <c r="C412" s="35"/>
      <c r="D412" s="100">
        <v>6.0</v>
      </c>
      <c r="E412" s="111"/>
      <c r="F412" s="35"/>
      <c r="G412" s="14"/>
      <c r="H412" s="14"/>
      <c r="I412" s="14"/>
    </row>
    <row r="413">
      <c r="A413" s="35"/>
      <c r="B413" s="35"/>
      <c r="C413" s="35"/>
      <c r="D413" s="100">
        <v>7.0</v>
      </c>
      <c r="E413" s="111"/>
      <c r="F413" s="35"/>
      <c r="G413" s="14">
        <f>count(D405:D413)</f>
        <v>9</v>
      </c>
      <c r="H413" s="14">
        <f>average(D405:D413)</f>
        <v>9.444444444</v>
      </c>
      <c r="I413" s="14"/>
    </row>
    <row r="414">
      <c r="A414" s="28">
        <v>5.0</v>
      </c>
      <c r="B414" s="35"/>
      <c r="C414" s="28" t="s">
        <v>114</v>
      </c>
      <c r="D414" s="100">
        <v>24.0</v>
      </c>
      <c r="E414" s="111"/>
      <c r="F414" s="35"/>
      <c r="G414" s="14"/>
      <c r="H414" s="14"/>
      <c r="I414" s="14"/>
    </row>
    <row r="415">
      <c r="A415" s="35"/>
      <c r="B415" s="35"/>
      <c r="C415" s="35"/>
      <c r="D415" s="100">
        <v>21.0</v>
      </c>
      <c r="E415" s="111"/>
      <c r="F415" s="35"/>
      <c r="G415" s="14"/>
      <c r="H415" s="14"/>
      <c r="I415" s="14"/>
    </row>
    <row r="416">
      <c r="A416" s="35"/>
      <c r="B416" s="35"/>
      <c r="C416" s="35"/>
      <c r="D416" s="100">
        <v>11.0</v>
      </c>
      <c r="E416" s="111"/>
      <c r="F416" s="35"/>
      <c r="G416" s="14"/>
      <c r="H416" s="14"/>
      <c r="I416" s="14"/>
    </row>
    <row r="417">
      <c r="A417" s="35"/>
      <c r="B417" s="35"/>
      <c r="C417" s="35"/>
      <c r="D417" s="100">
        <v>30.0</v>
      </c>
      <c r="E417" s="111"/>
      <c r="F417" s="35"/>
      <c r="G417" s="14"/>
      <c r="H417" s="14"/>
      <c r="I417" s="14"/>
    </row>
    <row r="418">
      <c r="A418" s="35"/>
      <c r="B418" s="35"/>
      <c r="C418" s="35"/>
      <c r="D418" s="100">
        <v>15.0</v>
      </c>
      <c r="E418" s="111"/>
      <c r="F418" s="35"/>
      <c r="G418" s="14"/>
      <c r="H418" s="14"/>
      <c r="I418" s="14"/>
    </row>
    <row r="419">
      <c r="A419" s="35"/>
      <c r="B419" s="35"/>
      <c r="C419" s="35"/>
      <c r="D419" s="100">
        <v>12.0</v>
      </c>
      <c r="E419" s="111"/>
      <c r="F419" s="35"/>
      <c r="G419" s="14"/>
      <c r="H419" s="14"/>
      <c r="I419" s="14"/>
    </row>
    <row r="420">
      <c r="A420" s="35"/>
      <c r="B420" s="35"/>
      <c r="C420" s="35"/>
      <c r="D420" s="100">
        <v>9.0</v>
      </c>
      <c r="E420" s="111"/>
      <c r="F420" s="35"/>
      <c r="G420" s="14"/>
      <c r="H420" s="14"/>
      <c r="I420" s="14"/>
    </row>
    <row r="421">
      <c r="A421" s="35"/>
      <c r="B421" s="35"/>
      <c r="C421" s="35"/>
      <c r="D421" s="100">
        <v>9.0</v>
      </c>
      <c r="E421" s="111"/>
      <c r="F421" s="35"/>
      <c r="G421" s="14"/>
      <c r="H421" s="14"/>
      <c r="I421" s="14"/>
    </row>
    <row r="422">
      <c r="A422" s="35"/>
      <c r="B422" s="35"/>
      <c r="C422" s="35"/>
      <c r="D422" s="100">
        <v>28.0</v>
      </c>
      <c r="E422" s="111"/>
      <c r="F422" s="35"/>
      <c r="G422" s="14"/>
      <c r="H422" s="14"/>
      <c r="I422" s="14"/>
    </row>
    <row r="423">
      <c r="A423" s="35"/>
      <c r="B423" s="35"/>
      <c r="C423" s="35"/>
      <c r="D423" s="100">
        <v>15.0</v>
      </c>
      <c r="E423" s="111"/>
      <c r="F423" s="35"/>
      <c r="G423" s="14"/>
      <c r="H423" s="14"/>
      <c r="I423" s="14"/>
    </row>
    <row r="424">
      <c r="A424" s="35"/>
      <c r="B424" s="35"/>
      <c r="C424" s="35"/>
      <c r="D424" s="100">
        <v>14.0</v>
      </c>
      <c r="E424" s="111"/>
      <c r="F424" s="35"/>
      <c r="G424" s="14"/>
      <c r="H424" s="14"/>
      <c r="I424" s="14"/>
    </row>
    <row r="425">
      <c r="A425" s="35"/>
      <c r="B425" s="35"/>
      <c r="C425" s="35"/>
      <c r="D425" s="100">
        <v>21.0</v>
      </c>
      <c r="E425" s="111"/>
      <c r="F425" s="35"/>
      <c r="G425" s="14"/>
      <c r="H425" s="14"/>
      <c r="I425" s="14"/>
    </row>
    <row r="426">
      <c r="A426" s="35"/>
      <c r="B426" s="35"/>
      <c r="C426" s="35"/>
      <c r="D426" s="100">
        <v>17.0</v>
      </c>
      <c r="E426" s="111"/>
      <c r="F426" s="35"/>
      <c r="G426" s="14"/>
      <c r="H426" s="14"/>
      <c r="I426" s="14"/>
    </row>
    <row r="427">
      <c r="A427" s="35"/>
      <c r="B427" s="35"/>
      <c r="C427" s="35"/>
      <c r="D427" s="100">
        <v>23.0</v>
      </c>
      <c r="E427" s="111"/>
      <c r="F427" s="35"/>
      <c r="G427" s="14"/>
      <c r="H427" s="14"/>
      <c r="I427" s="14"/>
    </row>
    <row r="428">
      <c r="A428" s="35"/>
      <c r="B428" s="35"/>
      <c r="C428" s="35"/>
      <c r="D428" s="100">
        <v>7.0</v>
      </c>
      <c r="E428" s="111"/>
      <c r="F428" s="35"/>
      <c r="G428" s="14"/>
      <c r="H428" s="14"/>
      <c r="I428" s="14"/>
    </row>
    <row r="429">
      <c r="A429" s="35"/>
      <c r="B429" s="35"/>
      <c r="C429" s="35"/>
      <c r="D429" s="100">
        <v>9.0</v>
      </c>
      <c r="E429" s="111"/>
      <c r="F429" s="35"/>
      <c r="G429" s="14"/>
      <c r="H429" s="14"/>
      <c r="I429" s="14"/>
    </row>
    <row r="430">
      <c r="A430" s="35"/>
      <c r="B430" s="35"/>
      <c r="C430" s="35"/>
      <c r="D430" s="100">
        <v>8.0</v>
      </c>
      <c r="E430" s="111"/>
      <c r="F430" s="35"/>
      <c r="G430" s="14"/>
      <c r="H430" s="14"/>
      <c r="I430" s="14"/>
    </row>
    <row r="431">
      <c r="A431" s="35"/>
      <c r="B431" s="35"/>
      <c r="C431" s="35"/>
      <c r="D431" s="100">
        <v>14.0</v>
      </c>
      <c r="E431" s="111"/>
      <c r="F431" s="35"/>
      <c r="G431" s="14"/>
      <c r="H431" s="14"/>
      <c r="I431" s="14"/>
    </row>
    <row r="432">
      <c r="A432" s="35"/>
      <c r="B432" s="35"/>
      <c r="C432" s="35"/>
      <c r="D432" s="100">
        <v>20.0</v>
      </c>
      <c r="E432" s="111"/>
      <c r="F432" s="35"/>
      <c r="G432" s="14"/>
      <c r="H432" s="14"/>
      <c r="I432" s="14"/>
    </row>
    <row r="433">
      <c r="A433" s="35"/>
      <c r="B433" s="35"/>
      <c r="C433" s="35"/>
      <c r="D433" s="100">
        <v>25.0</v>
      </c>
      <c r="E433" s="111"/>
      <c r="F433" s="35"/>
      <c r="G433" s="14"/>
      <c r="H433" s="14"/>
      <c r="I433" s="14"/>
    </row>
    <row r="434">
      <c r="A434" s="35"/>
      <c r="B434" s="35"/>
      <c r="C434" s="35"/>
      <c r="D434" s="100">
        <v>11.0</v>
      </c>
      <c r="E434" s="111"/>
      <c r="F434" s="35"/>
      <c r="G434" s="14"/>
      <c r="H434" s="14"/>
      <c r="I434" s="14"/>
    </row>
    <row r="435">
      <c r="A435" s="35"/>
      <c r="B435" s="35"/>
      <c r="C435" s="35"/>
      <c r="D435" s="100">
        <v>9.0</v>
      </c>
      <c r="E435" s="111"/>
      <c r="F435" s="35"/>
      <c r="G435" s="14"/>
      <c r="H435" s="14"/>
      <c r="I435" s="14"/>
    </row>
    <row r="436">
      <c r="A436" s="35"/>
      <c r="B436" s="35"/>
      <c r="C436" s="35"/>
      <c r="D436" s="100">
        <v>6.0</v>
      </c>
      <c r="E436" s="111"/>
      <c r="F436" s="35"/>
      <c r="G436" s="14">
        <f>count(D414:D436)</f>
        <v>23</v>
      </c>
      <c r="H436" s="14">
        <f>average(D414:D436)</f>
        <v>15.56521739</v>
      </c>
      <c r="I436" s="14"/>
    </row>
    <row r="437">
      <c r="A437" s="28">
        <v>6.0</v>
      </c>
      <c r="B437" s="28"/>
      <c r="C437" s="28" t="s">
        <v>114</v>
      </c>
      <c r="D437" s="28">
        <v>8.0</v>
      </c>
      <c r="E437" s="28"/>
      <c r="F437" s="28"/>
      <c r="G437" s="14"/>
      <c r="H437" s="14"/>
      <c r="I437" s="14"/>
    </row>
    <row r="438">
      <c r="A438" s="28"/>
      <c r="B438" s="35"/>
      <c r="C438" s="28"/>
      <c r="D438" s="100">
        <v>3.0</v>
      </c>
      <c r="E438" s="111"/>
      <c r="F438" s="35"/>
      <c r="G438" s="14"/>
      <c r="H438" s="14"/>
      <c r="I438" s="14"/>
    </row>
    <row r="439">
      <c r="A439" s="28"/>
      <c r="B439" s="35"/>
      <c r="C439" s="28"/>
      <c r="D439" s="100">
        <v>5.0</v>
      </c>
      <c r="E439" s="111"/>
      <c r="F439" s="35"/>
      <c r="G439" s="14"/>
      <c r="H439" s="14"/>
      <c r="I439" s="14"/>
    </row>
    <row r="440">
      <c r="A440" s="28"/>
      <c r="B440" s="35"/>
      <c r="C440" s="28"/>
      <c r="D440" s="100">
        <v>7.0</v>
      </c>
      <c r="E440" s="111"/>
      <c r="F440" s="35"/>
      <c r="G440" s="14"/>
      <c r="H440" s="14"/>
      <c r="I440" s="14"/>
    </row>
    <row r="441">
      <c r="A441" s="28"/>
      <c r="B441" s="35"/>
      <c r="C441" s="28"/>
      <c r="D441" s="100">
        <v>10.0</v>
      </c>
      <c r="E441" s="111"/>
      <c r="F441" s="35"/>
      <c r="G441" s="14"/>
      <c r="H441" s="14"/>
      <c r="I441" s="14"/>
    </row>
    <row r="442">
      <c r="A442" s="28"/>
      <c r="B442" s="35"/>
      <c r="C442" s="28"/>
      <c r="D442" s="100">
        <v>3.0</v>
      </c>
      <c r="E442" s="111"/>
      <c r="F442" s="35"/>
      <c r="G442" s="14"/>
      <c r="H442" s="14"/>
      <c r="I442" s="14"/>
    </row>
    <row r="443">
      <c r="A443" s="28"/>
      <c r="B443" s="35"/>
      <c r="C443" s="28"/>
      <c r="D443" s="100">
        <v>5.0</v>
      </c>
      <c r="E443" s="111"/>
      <c r="F443" s="35"/>
      <c r="G443" s="14"/>
      <c r="H443" s="14"/>
      <c r="I443" s="14"/>
    </row>
    <row r="444">
      <c r="A444" s="28"/>
      <c r="B444" s="35"/>
      <c r="C444" s="28"/>
      <c r="D444" s="100">
        <v>5.0</v>
      </c>
      <c r="E444" s="111"/>
      <c r="F444" s="35"/>
      <c r="G444" s="14"/>
      <c r="H444" s="14"/>
      <c r="I444" s="14"/>
    </row>
    <row r="445">
      <c r="A445" s="28"/>
      <c r="B445" s="35"/>
      <c r="C445" s="28"/>
      <c r="D445" s="100">
        <v>8.0</v>
      </c>
      <c r="E445" s="111"/>
      <c r="F445" s="35"/>
      <c r="G445" s="14"/>
      <c r="H445" s="14"/>
      <c r="I445" s="14"/>
    </row>
    <row r="446">
      <c r="A446" s="28"/>
      <c r="B446" s="35"/>
      <c r="C446" s="28"/>
      <c r="D446" s="100">
        <v>9.0</v>
      </c>
      <c r="E446" s="111"/>
      <c r="F446" s="35"/>
      <c r="G446" s="14"/>
      <c r="H446" s="14"/>
      <c r="I446" s="14"/>
    </row>
    <row r="447">
      <c r="A447" s="28"/>
      <c r="B447" s="35"/>
      <c r="C447" s="28"/>
      <c r="D447" s="100">
        <v>10.0</v>
      </c>
      <c r="E447" s="111"/>
      <c r="F447" s="35"/>
      <c r="G447" s="14"/>
      <c r="H447" s="14"/>
      <c r="I447" s="14"/>
    </row>
    <row r="448">
      <c r="A448" s="28"/>
      <c r="B448" s="35"/>
      <c r="C448" s="28"/>
      <c r="D448" s="100">
        <v>7.0</v>
      </c>
      <c r="E448" s="111"/>
      <c r="F448" s="35"/>
      <c r="G448" s="14"/>
      <c r="H448" s="14"/>
      <c r="I448" s="14"/>
    </row>
    <row r="449">
      <c r="A449" s="28"/>
      <c r="B449" s="35"/>
      <c r="C449" s="28"/>
      <c r="D449" s="100">
        <v>7.0</v>
      </c>
      <c r="E449" s="111"/>
      <c r="F449" s="35"/>
      <c r="G449" s="14"/>
      <c r="H449" s="14"/>
      <c r="I449" s="14"/>
    </row>
    <row r="450">
      <c r="A450" s="28"/>
      <c r="B450" s="35"/>
      <c r="C450" s="28"/>
      <c r="D450" s="100">
        <v>9.0</v>
      </c>
      <c r="E450" s="111"/>
      <c r="F450" s="35"/>
      <c r="G450" s="14"/>
      <c r="H450" s="14"/>
      <c r="I450" s="14"/>
    </row>
    <row r="451">
      <c r="A451" s="28"/>
      <c r="B451" s="35"/>
      <c r="C451" s="28"/>
      <c r="D451" s="100">
        <v>13.0</v>
      </c>
      <c r="E451" s="111"/>
      <c r="F451" s="28" t="s">
        <v>312</v>
      </c>
      <c r="G451" s="107">
        <f>COUNT(D437:D451)</f>
        <v>15</v>
      </c>
      <c r="H451" s="107">
        <f>AVERAGE(D437:D451)</f>
        <v>7.266666667</v>
      </c>
      <c r="I451" s="14"/>
    </row>
    <row r="452">
      <c r="A452" s="28">
        <v>7.0</v>
      </c>
      <c r="B452" s="35"/>
      <c r="C452" s="28" t="s">
        <v>114</v>
      </c>
      <c r="D452" s="100">
        <v>10.0</v>
      </c>
      <c r="E452" s="111"/>
      <c r="F452" s="35"/>
      <c r="G452" s="14"/>
      <c r="H452" s="14"/>
      <c r="I452" s="14"/>
    </row>
    <row r="453">
      <c r="A453" s="28"/>
      <c r="B453" s="35"/>
      <c r="C453" s="28"/>
      <c r="D453" s="100">
        <v>12.0</v>
      </c>
      <c r="E453" s="111"/>
      <c r="F453" s="28" t="s">
        <v>312</v>
      </c>
      <c r="G453" s="14"/>
      <c r="H453" s="14"/>
      <c r="I453" s="14"/>
    </row>
    <row r="454">
      <c r="A454" s="28"/>
      <c r="B454" s="35"/>
      <c r="C454" s="28"/>
      <c r="D454" s="100">
        <v>31.0</v>
      </c>
      <c r="E454" s="111"/>
      <c r="F454" s="28" t="s">
        <v>312</v>
      </c>
      <c r="G454" s="14"/>
      <c r="H454" s="14"/>
      <c r="I454" s="14"/>
    </row>
    <row r="455">
      <c r="A455" s="28"/>
      <c r="B455" s="35"/>
      <c r="C455" s="28"/>
      <c r="D455" s="100">
        <v>6.0</v>
      </c>
      <c r="E455" s="111"/>
      <c r="F455" s="35"/>
      <c r="G455" s="14"/>
      <c r="H455" s="14"/>
      <c r="I455" s="14"/>
    </row>
    <row r="456">
      <c r="A456" s="28"/>
      <c r="B456" s="35"/>
      <c r="C456" s="28"/>
      <c r="D456" s="100">
        <v>16.0</v>
      </c>
      <c r="E456" s="111"/>
      <c r="F456" s="35"/>
      <c r="G456" s="14"/>
      <c r="H456" s="14"/>
      <c r="I456" s="14"/>
    </row>
    <row r="457">
      <c r="A457" s="28"/>
      <c r="B457" s="35"/>
      <c r="C457" s="28"/>
      <c r="D457" s="100">
        <v>13.0</v>
      </c>
      <c r="E457" s="111"/>
      <c r="F457" s="28" t="s">
        <v>312</v>
      </c>
      <c r="G457" s="14"/>
      <c r="H457" s="14"/>
      <c r="I457" s="14"/>
    </row>
    <row r="458">
      <c r="A458" s="28"/>
      <c r="B458" s="35"/>
      <c r="C458" s="28"/>
      <c r="D458" s="100">
        <v>11.0</v>
      </c>
      <c r="E458" s="111"/>
      <c r="F458" s="35"/>
      <c r="G458" s="107">
        <f>count(D452:D458)</f>
        <v>7</v>
      </c>
      <c r="H458" s="107">
        <f>average(D452:D458)</f>
        <v>14.14285714</v>
      </c>
      <c r="I458" s="14"/>
    </row>
    <row r="459">
      <c r="A459" s="28">
        <v>8.0</v>
      </c>
      <c r="B459" s="35"/>
      <c r="C459" s="28" t="s">
        <v>114</v>
      </c>
      <c r="D459" s="100">
        <v>7.0</v>
      </c>
      <c r="E459" s="111"/>
      <c r="F459" s="35"/>
      <c r="G459" s="14"/>
      <c r="H459" s="14"/>
      <c r="I459" s="14"/>
    </row>
    <row r="460">
      <c r="A460" s="28"/>
      <c r="B460" s="35"/>
      <c r="C460" s="28"/>
      <c r="D460" s="100">
        <v>7.0</v>
      </c>
      <c r="E460" s="111"/>
      <c r="F460" s="35"/>
      <c r="G460" s="14"/>
      <c r="H460" s="14"/>
      <c r="I460" s="14"/>
    </row>
    <row r="461">
      <c r="A461" s="28"/>
      <c r="B461" s="35"/>
      <c r="C461" s="28"/>
      <c r="D461" s="100">
        <v>12.0</v>
      </c>
      <c r="E461" s="111"/>
      <c r="F461" s="35"/>
      <c r="G461" s="14"/>
      <c r="H461" s="14"/>
      <c r="I461" s="14"/>
    </row>
    <row r="462">
      <c r="A462" s="28"/>
      <c r="B462" s="35"/>
      <c r="C462" s="28"/>
      <c r="D462" s="100">
        <v>3.0</v>
      </c>
      <c r="E462" s="111"/>
      <c r="F462" s="28" t="s">
        <v>312</v>
      </c>
      <c r="G462" s="14"/>
      <c r="H462" s="14"/>
      <c r="I462" s="14"/>
    </row>
    <row r="463">
      <c r="A463" s="28"/>
      <c r="B463" s="35"/>
      <c r="C463" s="28"/>
      <c r="D463" s="100">
        <v>9.0</v>
      </c>
      <c r="E463" s="111"/>
      <c r="F463" s="35"/>
      <c r="G463" s="14"/>
      <c r="H463" s="14"/>
      <c r="I463" s="14"/>
    </row>
    <row r="464">
      <c r="A464" s="28"/>
      <c r="B464" s="35"/>
      <c r="C464" s="28"/>
      <c r="D464" s="100">
        <v>9.0</v>
      </c>
      <c r="E464" s="111"/>
      <c r="F464" s="35"/>
      <c r="G464" s="14"/>
      <c r="H464" s="14"/>
      <c r="I464" s="14"/>
    </row>
    <row r="465">
      <c r="A465" s="28"/>
      <c r="B465" s="35"/>
      <c r="C465" s="28"/>
      <c r="D465" s="100">
        <v>3.0</v>
      </c>
      <c r="E465" s="111"/>
      <c r="F465" s="35"/>
      <c r="G465" s="14"/>
      <c r="H465" s="14"/>
      <c r="I465" s="14"/>
    </row>
    <row r="466">
      <c r="A466" s="28"/>
      <c r="B466" s="35"/>
      <c r="C466" s="28"/>
      <c r="D466" s="100">
        <v>16.0</v>
      </c>
      <c r="E466" s="111"/>
      <c r="F466" s="35"/>
      <c r="G466" s="107">
        <f>count(D459:D466)</f>
        <v>8</v>
      </c>
      <c r="H466" s="107">
        <f>average(D459:D466)</f>
        <v>8.25</v>
      </c>
      <c r="I466" s="14"/>
    </row>
    <row r="467">
      <c r="A467" s="28">
        <v>9.0</v>
      </c>
      <c r="B467" s="35"/>
      <c r="C467" s="28" t="s">
        <v>114</v>
      </c>
      <c r="D467" s="100">
        <v>7.0</v>
      </c>
      <c r="E467" s="111"/>
      <c r="F467" s="35"/>
      <c r="G467" s="14"/>
      <c r="H467" s="14"/>
      <c r="I467" s="14"/>
    </row>
    <row r="468">
      <c r="A468" s="28"/>
      <c r="B468" s="35"/>
      <c r="C468" s="28"/>
      <c r="D468" s="100">
        <v>5.0</v>
      </c>
      <c r="E468" s="111"/>
      <c r="F468" s="35"/>
      <c r="G468" s="14"/>
      <c r="H468" s="14"/>
      <c r="I468" s="14"/>
    </row>
    <row r="469">
      <c r="A469" s="28"/>
      <c r="B469" s="35"/>
      <c r="C469" s="28"/>
      <c r="D469" s="100">
        <v>7.0</v>
      </c>
      <c r="E469" s="111"/>
      <c r="F469" s="35"/>
      <c r="G469" s="14"/>
      <c r="H469" s="14"/>
      <c r="I469" s="14"/>
    </row>
    <row r="470">
      <c r="A470" s="28"/>
      <c r="B470" s="35"/>
      <c r="C470" s="28"/>
      <c r="D470" s="100">
        <v>7.0</v>
      </c>
      <c r="E470" s="111"/>
      <c r="F470" s="35"/>
      <c r="G470" s="14"/>
      <c r="H470" s="14"/>
      <c r="I470" s="14"/>
    </row>
    <row r="471">
      <c r="A471" s="28"/>
      <c r="B471" s="35"/>
      <c r="C471" s="28"/>
      <c r="D471" s="100">
        <v>7.0</v>
      </c>
      <c r="E471" s="111"/>
      <c r="F471" s="35"/>
      <c r="G471" s="14"/>
      <c r="H471" s="14"/>
      <c r="I471" s="14"/>
    </row>
    <row r="472">
      <c r="A472" s="28"/>
      <c r="B472" s="35"/>
      <c r="C472" s="28"/>
      <c r="D472" s="100">
        <v>4.0</v>
      </c>
      <c r="E472" s="111"/>
      <c r="F472" s="35"/>
      <c r="G472" s="14"/>
      <c r="H472" s="14"/>
      <c r="I472" s="14"/>
    </row>
    <row r="473">
      <c r="A473" s="28"/>
      <c r="B473" s="35"/>
      <c r="C473" s="28"/>
      <c r="D473" s="100">
        <v>8.0</v>
      </c>
      <c r="E473" s="111"/>
      <c r="F473" s="35"/>
      <c r="G473" s="14"/>
      <c r="H473" s="14"/>
      <c r="I473" s="14"/>
    </row>
    <row r="474">
      <c r="A474" s="28"/>
      <c r="B474" s="35"/>
      <c r="C474" s="28"/>
      <c r="D474" s="100">
        <v>3.0</v>
      </c>
      <c r="E474" s="111"/>
      <c r="F474" s="35"/>
      <c r="G474" s="14"/>
      <c r="H474" s="14"/>
      <c r="I474" s="14"/>
    </row>
    <row r="475">
      <c r="A475" s="28"/>
      <c r="B475" s="35"/>
      <c r="C475" s="28"/>
      <c r="D475" s="100">
        <v>4.0</v>
      </c>
      <c r="E475" s="111"/>
      <c r="F475" s="35"/>
      <c r="G475" s="14"/>
      <c r="H475" s="14"/>
      <c r="I475" s="14"/>
    </row>
    <row r="476">
      <c r="A476" s="28"/>
      <c r="B476" s="35"/>
      <c r="C476" s="28"/>
      <c r="D476" s="100">
        <v>6.0</v>
      </c>
      <c r="E476" s="111"/>
      <c r="F476" s="35"/>
      <c r="G476" s="14"/>
      <c r="H476" s="14"/>
      <c r="I476" s="14"/>
    </row>
    <row r="477">
      <c r="A477" s="28"/>
      <c r="B477" s="35"/>
      <c r="C477" s="28"/>
      <c r="D477" s="100">
        <v>5.0</v>
      </c>
      <c r="E477" s="111"/>
      <c r="F477" s="35"/>
      <c r="G477" s="14"/>
      <c r="H477" s="14"/>
      <c r="I477" s="14"/>
    </row>
    <row r="478">
      <c r="A478" s="28"/>
      <c r="B478" s="35"/>
      <c r="C478" s="28"/>
      <c r="D478" s="100">
        <v>5.0</v>
      </c>
      <c r="E478" s="111"/>
      <c r="F478" s="35"/>
      <c r="G478" s="14"/>
      <c r="H478" s="14"/>
      <c r="I478" s="14"/>
    </row>
    <row r="479">
      <c r="A479" s="28"/>
      <c r="B479" s="35"/>
      <c r="C479" s="28"/>
      <c r="D479" s="100">
        <v>4.0</v>
      </c>
      <c r="E479" s="111"/>
      <c r="F479" s="35"/>
      <c r="G479" s="14"/>
      <c r="H479" s="14"/>
      <c r="I479" s="14"/>
    </row>
    <row r="480">
      <c r="A480" s="28"/>
      <c r="B480" s="35"/>
      <c r="C480" s="28"/>
      <c r="D480" s="100">
        <v>5.0</v>
      </c>
      <c r="E480" s="111"/>
      <c r="F480" s="35"/>
      <c r="G480" s="14"/>
      <c r="H480" s="14"/>
      <c r="I480" s="14"/>
    </row>
    <row r="481">
      <c r="A481" s="28"/>
      <c r="B481" s="35"/>
      <c r="C481" s="28"/>
      <c r="D481" s="100">
        <v>5.0</v>
      </c>
      <c r="E481" s="111"/>
      <c r="F481" s="35"/>
      <c r="G481" s="14"/>
      <c r="H481" s="14"/>
      <c r="I481" s="14"/>
    </row>
    <row r="482">
      <c r="A482" s="28"/>
      <c r="B482" s="35"/>
      <c r="C482" s="28"/>
      <c r="D482" s="100">
        <v>6.0</v>
      </c>
      <c r="E482" s="111"/>
      <c r="F482" s="35"/>
      <c r="G482" s="14"/>
      <c r="H482" s="14"/>
      <c r="I482" s="14"/>
    </row>
    <row r="483">
      <c r="A483" s="28"/>
      <c r="B483" s="35"/>
      <c r="C483" s="28"/>
      <c r="D483" s="100">
        <v>6.0</v>
      </c>
      <c r="E483" s="111"/>
      <c r="F483" s="35"/>
      <c r="G483" s="14"/>
      <c r="H483" s="14"/>
      <c r="I483" s="14"/>
    </row>
    <row r="484">
      <c r="A484" s="28"/>
      <c r="B484" s="35"/>
      <c r="C484" s="28"/>
      <c r="D484" s="100">
        <v>4.0</v>
      </c>
      <c r="E484" s="111"/>
      <c r="F484" s="35"/>
      <c r="G484" s="14"/>
      <c r="H484" s="14"/>
      <c r="I484" s="14"/>
    </row>
    <row r="485">
      <c r="A485" s="28"/>
      <c r="B485" s="35"/>
      <c r="C485" s="28"/>
      <c r="D485" s="100">
        <v>8.0</v>
      </c>
      <c r="E485" s="111"/>
      <c r="F485" s="35"/>
      <c r="G485" s="14"/>
      <c r="H485" s="14"/>
      <c r="I485" s="14"/>
    </row>
    <row r="486">
      <c r="A486" s="28"/>
      <c r="B486" s="35"/>
      <c r="C486" s="28"/>
      <c r="D486" s="100">
        <v>5.0</v>
      </c>
      <c r="E486" s="111"/>
      <c r="F486" s="35"/>
      <c r="G486" s="14"/>
      <c r="H486" s="14"/>
      <c r="I486" s="14"/>
    </row>
    <row r="487">
      <c r="A487" s="28"/>
      <c r="B487" s="35"/>
      <c r="C487" s="28"/>
      <c r="D487" s="100">
        <v>6.0</v>
      </c>
      <c r="E487" s="111"/>
      <c r="F487" s="35"/>
      <c r="G487" s="107">
        <f>COUNT(D467:D487)</f>
        <v>21</v>
      </c>
      <c r="H487" s="107">
        <f>AVERAGE(D467:D487)</f>
        <v>5.571428571</v>
      </c>
      <c r="I487" s="14"/>
    </row>
    <row r="488">
      <c r="A488" s="28">
        <v>10.0</v>
      </c>
      <c r="B488" s="35"/>
      <c r="C488" s="28" t="s">
        <v>114</v>
      </c>
      <c r="D488" s="100">
        <v>4.0</v>
      </c>
      <c r="E488" s="111"/>
      <c r="F488" s="35"/>
      <c r="G488" s="14"/>
      <c r="H488" s="14"/>
      <c r="I488" s="14"/>
    </row>
    <row r="489">
      <c r="A489" s="28"/>
      <c r="B489" s="35"/>
      <c r="C489" s="28"/>
      <c r="D489" s="100">
        <v>5.0</v>
      </c>
      <c r="E489" s="111"/>
      <c r="F489" s="35"/>
      <c r="G489" s="14"/>
      <c r="H489" s="14"/>
      <c r="I489" s="14"/>
    </row>
    <row r="490">
      <c r="A490" s="28"/>
      <c r="B490" s="35"/>
      <c r="C490" s="28"/>
      <c r="D490" s="100">
        <v>2.0</v>
      </c>
      <c r="E490" s="111"/>
      <c r="F490" s="35"/>
      <c r="G490" s="14"/>
      <c r="H490" s="14"/>
      <c r="I490" s="14"/>
    </row>
    <row r="491">
      <c r="A491" s="28"/>
      <c r="B491" s="35"/>
      <c r="C491" s="28"/>
      <c r="D491" s="100">
        <v>2.0</v>
      </c>
      <c r="E491" s="111"/>
      <c r="F491" s="35"/>
      <c r="G491" s="14"/>
      <c r="H491" s="14"/>
      <c r="I491" s="14"/>
    </row>
    <row r="492">
      <c r="A492" s="28"/>
      <c r="B492" s="35"/>
      <c r="C492" s="28"/>
      <c r="D492" s="100">
        <v>4.0</v>
      </c>
      <c r="E492" s="111"/>
      <c r="F492" s="35"/>
      <c r="G492" s="14"/>
      <c r="H492" s="14"/>
      <c r="I492" s="14"/>
    </row>
    <row r="493">
      <c r="A493" s="28"/>
      <c r="B493" s="35"/>
      <c r="C493" s="28"/>
      <c r="D493" s="100">
        <v>5.0</v>
      </c>
      <c r="E493" s="111"/>
      <c r="F493" s="35"/>
      <c r="G493" s="14"/>
      <c r="H493" s="14"/>
      <c r="I493" s="14"/>
    </row>
    <row r="494">
      <c r="A494" s="28"/>
      <c r="B494" s="35"/>
      <c r="C494" s="28"/>
      <c r="D494" s="100">
        <v>3.0</v>
      </c>
      <c r="E494" s="111"/>
      <c r="F494" s="35"/>
      <c r="G494" s="14"/>
      <c r="H494" s="14"/>
      <c r="I494" s="14"/>
    </row>
    <row r="495">
      <c r="A495" s="28"/>
      <c r="B495" s="35"/>
      <c r="C495" s="28"/>
      <c r="D495" s="100">
        <v>6.0</v>
      </c>
      <c r="E495" s="111"/>
      <c r="F495" s="35"/>
      <c r="G495" s="14"/>
      <c r="H495" s="14"/>
      <c r="I495" s="14"/>
    </row>
    <row r="496">
      <c r="A496" s="28"/>
      <c r="B496" s="35"/>
      <c r="C496" s="28"/>
      <c r="D496" s="100">
        <v>5.0</v>
      </c>
      <c r="E496" s="111"/>
      <c r="F496" s="35"/>
      <c r="G496" s="14"/>
      <c r="H496" s="14"/>
      <c r="I496" s="14"/>
    </row>
    <row r="497">
      <c r="A497" s="28"/>
      <c r="B497" s="35"/>
      <c r="C497" s="28"/>
      <c r="D497" s="100">
        <v>2.0</v>
      </c>
      <c r="E497" s="111"/>
      <c r="F497" s="35"/>
      <c r="G497" s="14"/>
      <c r="H497" s="14"/>
      <c r="I497" s="14"/>
    </row>
    <row r="498">
      <c r="A498" s="28"/>
      <c r="B498" s="35"/>
      <c r="C498" s="28"/>
      <c r="D498" s="100">
        <v>3.0</v>
      </c>
      <c r="E498" s="111"/>
      <c r="F498" s="35"/>
      <c r="G498" s="14"/>
      <c r="H498" s="14"/>
      <c r="I498" s="14"/>
    </row>
    <row r="499">
      <c r="A499" s="28"/>
      <c r="B499" s="35"/>
      <c r="C499" s="28"/>
      <c r="D499" s="100">
        <v>7.0</v>
      </c>
      <c r="E499" s="111"/>
      <c r="F499" s="35"/>
      <c r="G499" s="14"/>
      <c r="H499" s="14"/>
      <c r="I499" s="14"/>
    </row>
    <row r="500">
      <c r="A500" s="28"/>
      <c r="B500" s="35"/>
      <c r="C500" s="28"/>
      <c r="D500" s="100">
        <v>10.0</v>
      </c>
      <c r="E500" s="111"/>
      <c r="F500" s="35"/>
      <c r="G500" s="14"/>
      <c r="H500" s="14"/>
      <c r="I500" s="14"/>
    </row>
    <row r="501">
      <c r="A501" s="28"/>
      <c r="B501" s="35"/>
      <c r="C501" s="28"/>
      <c r="D501" s="100">
        <v>5.0</v>
      </c>
      <c r="E501" s="111"/>
      <c r="F501" s="35"/>
      <c r="G501" s="107">
        <f>COUNT(D488:D501)</f>
        <v>14</v>
      </c>
      <c r="H501" s="107">
        <f>AVERAGE(D488:D501)</f>
        <v>4.5</v>
      </c>
      <c r="I501" s="14"/>
    </row>
    <row r="502">
      <c r="A502" s="28">
        <v>11.0</v>
      </c>
      <c r="B502" s="35"/>
      <c r="C502" s="28" t="s">
        <v>114</v>
      </c>
      <c r="D502" s="100">
        <v>12.0</v>
      </c>
      <c r="E502" s="111"/>
      <c r="F502" s="35"/>
      <c r="G502" s="14"/>
      <c r="H502" s="14"/>
      <c r="I502" s="14"/>
    </row>
    <row r="503">
      <c r="A503" s="35"/>
      <c r="B503" s="35"/>
      <c r="C503" s="35"/>
      <c r="D503" s="81">
        <v>4.0</v>
      </c>
      <c r="E503" s="111"/>
      <c r="F503" s="35"/>
      <c r="G503" s="14"/>
      <c r="H503" s="14"/>
      <c r="I503" s="14"/>
    </row>
    <row r="504">
      <c r="A504" s="35"/>
      <c r="B504" s="35"/>
      <c r="C504" s="35"/>
      <c r="D504" s="81">
        <v>4.0</v>
      </c>
      <c r="E504" s="111"/>
      <c r="F504" s="35"/>
      <c r="G504" s="14"/>
      <c r="H504" s="14"/>
      <c r="I504" s="14"/>
    </row>
    <row r="505">
      <c r="A505" s="35"/>
      <c r="B505" s="35"/>
      <c r="C505" s="35"/>
      <c r="D505" s="81">
        <v>4.0</v>
      </c>
      <c r="E505" s="111"/>
      <c r="F505" s="35"/>
      <c r="G505" s="14"/>
      <c r="H505" s="14"/>
      <c r="I505" s="14"/>
    </row>
    <row r="506">
      <c r="A506" s="35"/>
      <c r="B506" s="35"/>
      <c r="C506" s="35"/>
      <c r="D506" s="81">
        <v>7.0</v>
      </c>
      <c r="E506" s="111"/>
      <c r="F506" s="35"/>
      <c r="G506" s="14"/>
      <c r="H506" s="14"/>
      <c r="I506" s="14"/>
    </row>
    <row r="507">
      <c r="A507" s="35"/>
      <c r="B507" s="35"/>
      <c r="C507" s="35"/>
      <c r="D507" s="81">
        <v>16.0</v>
      </c>
      <c r="E507" s="111"/>
      <c r="F507" s="35"/>
      <c r="G507" s="14"/>
      <c r="H507" s="14"/>
      <c r="I507" s="14"/>
    </row>
    <row r="508">
      <c r="A508" s="35"/>
      <c r="B508" s="35"/>
      <c r="C508" s="35"/>
      <c r="D508" s="81">
        <v>10.0</v>
      </c>
      <c r="E508" s="111"/>
      <c r="F508" s="35"/>
      <c r="G508" s="14"/>
      <c r="H508" s="14"/>
      <c r="I508" s="14"/>
    </row>
    <row r="509">
      <c r="A509" s="35"/>
      <c r="B509" s="35"/>
      <c r="C509" s="35"/>
      <c r="D509" s="100">
        <v>11.0</v>
      </c>
      <c r="E509" s="111"/>
      <c r="F509" s="35"/>
      <c r="G509" s="14"/>
      <c r="H509" s="14"/>
      <c r="I509" s="14"/>
    </row>
    <row r="510">
      <c r="A510" s="35"/>
      <c r="B510" s="35"/>
      <c r="C510" s="35"/>
      <c r="D510" s="100">
        <v>13.0</v>
      </c>
      <c r="E510" s="111"/>
      <c r="F510" s="35"/>
      <c r="G510" s="14"/>
      <c r="H510" s="14"/>
      <c r="I510" s="14"/>
    </row>
    <row r="511">
      <c r="A511" s="35"/>
      <c r="B511" s="35"/>
      <c r="C511" s="35"/>
      <c r="D511" s="100">
        <v>5.0</v>
      </c>
      <c r="E511" s="111"/>
      <c r="F511" s="35"/>
      <c r="G511" s="14"/>
      <c r="H511" s="14"/>
      <c r="I511" s="14"/>
    </row>
    <row r="512">
      <c r="A512" s="35"/>
      <c r="B512" s="35"/>
      <c r="C512" s="35"/>
      <c r="D512" s="100">
        <v>4.0</v>
      </c>
      <c r="E512" s="111"/>
      <c r="F512" s="35"/>
      <c r="G512" s="14"/>
      <c r="H512" s="14"/>
      <c r="I512" s="14"/>
    </row>
    <row r="513">
      <c r="A513" s="35"/>
      <c r="B513" s="35"/>
      <c r="C513" s="35"/>
      <c r="D513" s="100">
        <v>8.0</v>
      </c>
      <c r="E513" s="111"/>
      <c r="F513" s="35"/>
      <c r="G513" s="14"/>
      <c r="H513" s="14"/>
      <c r="I513" s="14"/>
    </row>
    <row r="514">
      <c r="A514" s="35"/>
      <c r="B514" s="35"/>
      <c r="C514" s="35"/>
      <c r="D514" s="100">
        <v>10.0</v>
      </c>
      <c r="E514" s="111"/>
      <c r="F514" s="35"/>
      <c r="G514" s="14"/>
      <c r="H514" s="14"/>
      <c r="I514" s="14"/>
    </row>
    <row r="515">
      <c r="A515" s="35"/>
      <c r="B515" s="35"/>
      <c r="C515" s="35"/>
      <c r="D515" s="100">
        <v>10.0</v>
      </c>
      <c r="E515" s="111"/>
      <c r="F515" s="35"/>
      <c r="G515" s="14"/>
      <c r="H515" s="14"/>
      <c r="I515" s="14"/>
    </row>
    <row r="516">
      <c r="A516" s="35"/>
      <c r="B516" s="35"/>
      <c r="C516" s="35"/>
      <c r="D516" s="100">
        <v>8.0</v>
      </c>
      <c r="E516" s="111"/>
      <c r="F516" s="35"/>
      <c r="G516" s="14"/>
      <c r="H516" s="14"/>
      <c r="I516" s="14"/>
    </row>
    <row r="517">
      <c r="A517" s="35"/>
      <c r="B517" s="35"/>
      <c r="C517" s="35"/>
      <c r="D517" s="100">
        <v>4.0</v>
      </c>
      <c r="E517" s="111"/>
      <c r="F517" s="35"/>
      <c r="G517" s="14"/>
      <c r="H517" s="14"/>
      <c r="I517" s="14"/>
    </row>
    <row r="518">
      <c r="A518" s="35"/>
      <c r="B518" s="35"/>
      <c r="C518" s="35"/>
      <c r="D518" s="100">
        <v>8.0</v>
      </c>
      <c r="E518" s="111"/>
      <c r="F518" s="35"/>
      <c r="G518" s="14"/>
      <c r="H518" s="14"/>
      <c r="I518" s="14"/>
    </row>
    <row r="519">
      <c r="A519" s="35"/>
      <c r="B519" s="35"/>
      <c r="C519" s="35"/>
      <c r="D519" s="100">
        <v>8.0</v>
      </c>
      <c r="E519" s="111"/>
      <c r="F519" s="35"/>
      <c r="G519" s="14"/>
      <c r="H519" s="14"/>
      <c r="I519" s="14"/>
    </row>
    <row r="520">
      <c r="A520" s="35"/>
      <c r="B520" s="35"/>
      <c r="C520" s="35"/>
      <c r="D520" s="100">
        <v>7.0</v>
      </c>
      <c r="E520" s="111"/>
      <c r="F520" s="35"/>
      <c r="G520" s="14">
        <f>count(D502:D520)</f>
        <v>19</v>
      </c>
      <c r="H520" s="14">
        <f>average(D502:D520)</f>
        <v>8.052631579</v>
      </c>
      <c r="I520" s="14"/>
    </row>
    <row r="521">
      <c r="A521" s="28">
        <v>12.0</v>
      </c>
      <c r="B521" s="35"/>
      <c r="C521" s="28" t="s">
        <v>114</v>
      </c>
      <c r="D521" s="100">
        <v>1.0</v>
      </c>
      <c r="E521" s="111"/>
      <c r="F521" s="35"/>
      <c r="G521" s="14"/>
      <c r="H521" s="14"/>
      <c r="I521" s="14"/>
    </row>
    <row r="522">
      <c r="A522" s="28"/>
      <c r="B522" s="35"/>
      <c r="C522" s="35"/>
      <c r="D522" s="100">
        <v>5.0</v>
      </c>
      <c r="E522" s="111"/>
      <c r="F522" s="35"/>
      <c r="G522" s="14"/>
      <c r="H522" s="14"/>
      <c r="I522" s="14"/>
    </row>
    <row r="523">
      <c r="A523" s="35"/>
      <c r="B523" s="35"/>
      <c r="C523" s="35"/>
      <c r="D523" s="100">
        <v>11.0</v>
      </c>
      <c r="E523" s="111"/>
      <c r="F523" s="35"/>
      <c r="G523" s="14"/>
      <c r="H523" s="14"/>
      <c r="I523" s="14"/>
    </row>
    <row r="524">
      <c r="A524" s="35"/>
      <c r="B524" s="35"/>
      <c r="C524" s="35"/>
      <c r="D524" s="100">
        <v>15.0</v>
      </c>
      <c r="E524" s="111"/>
      <c r="F524" s="35"/>
      <c r="G524" s="14"/>
      <c r="H524" s="14"/>
      <c r="I524" s="14"/>
    </row>
    <row r="525">
      <c r="A525" s="35"/>
      <c r="B525" s="35"/>
      <c r="C525" s="35"/>
      <c r="D525" s="100">
        <v>16.0</v>
      </c>
      <c r="E525" s="111"/>
      <c r="F525" s="35"/>
      <c r="G525" s="14"/>
      <c r="H525" s="14"/>
      <c r="I525" s="14"/>
    </row>
    <row r="526">
      <c r="A526" s="35"/>
      <c r="B526" s="35"/>
      <c r="C526" s="35"/>
      <c r="D526" s="100">
        <v>11.0</v>
      </c>
      <c r="E526" s="111"/>
      <c r="F526" s="35"/>
      <c r="G526" s="14"/>
      <c r="H526" s="14"/>
      <c r="I526" s="14"/>
    </row>
    <row r="527">
      <c r="A527" s="35"/>
      <c r="B527" s="35"/>
      <c r="C527" s="35"/>
      <c r="D527" s="100">
        <v>9.0</v>
      </c>
      <c r="E527" s="111"/>
      <c r="F527" s="35"/>
      <c r="G527" s="14"/>
      <c r="H527" s="14"/>
      <c r="I527" s="14"/>
    </row>
    <row r="528">
      <c r="A528" s="35"/>
      <c r="B528" s="35"/>
      <c r="C528" s="35"/>
      <c r="D528" s="100">
        <v>10.0</v>
      </c>
      <c r="E528" s="111"/>
      <c r="F528" s="35"/>
      <c r="G528" s="14"/>
      <c r="H528" s="14"/>
      <c r="I528" s="14"/>
    </row>
    <row r="529">
      <c r="A529" s="35"/>
      <c r="B529" s="35"/>
      <c r="C529" s="35"/>
      <c r="D529" s="100">
        <v>3.0</v>
      </c>
      <c r="E529" s="111"/>
      <c r="F529" s="35"/>
      <c r="G529" s="14"/>
      <c r="H529" s="14"/>
      <c r="I529" s="14"/>
    </row>
    <row r="530">
      <c r="A530" s="35"/>
      <c r="B530" s="35"/>
      <c r="C530" s="35"/>
      <c r="D530" s="100">
        <v>3.0</v>
      </c>
      <c r="E530" s="111"/>
      <c r="F530" s="35"/>
      <c r="G530" s="14"/>
      <c r="H530" s="14"/>
      <c r="I530" s="14"/>
    </row>
    <row r="531">
      <c r="A531" s="35"/>
      <c r="B531" s="35"/>
      <c r="C531" s="35"/>
      <c r="D531" s="100">
        <v>7.0</v>
      </c>
      <c r="E531" s="111"/>
      <c r="F531" s="35"/>
      <c r="G531" s="14"/>
      <c r="H531" s="14"/>
      <c r="I531" s="14"/>
    </row>
    <row r="532">
      <c r="A532" s="35"/>
      <c r="B532" s="35"/>
      <c r="C532" s="35"/>
      <c r="D532" s="100">
        <v>8.0</v>
      </c>
      <c r="E532" s="111"/>
      <c r="F532" s="35"/>
      <c r="G532" s="14"/>
      <c r="H532" s="14"/>
      <c r="I532" s="14"/>
    </row>
    <row r="533">
      <c r="A533" s="35"/>
      <c r="B533" s="35"/>
      <c r="C533" s="35"/>
      <c r="D533" s="100">
        <v>7.0</v>
      </c>
      <c r="E533" s="111"/>
      <c r="F533" s="35"/>
      <c r="G533" s="14"/>
      <c r="H533" s="14"/>
      <c r="I533" s="14"/>
    </row>
    <row r="534">
      <c r="A534" s="35"/>
      <c r="B534" s="35"/>
      <c r="C534" s="35"/>
      <c r="D534" s="100">
        <v>5.0</v>
      </c>
      <c r="E534" s="111"/>
      <c r="F534" s="35"/>
      <c r="G534" s="14"/>
      <c r="H534" s="14"/>
      <c r="I534" s="14"/>
    </row>
    <row r="535">
      <c r="A535" s="35"/>
      <c r="B535" s="35"/>
      <c r="C535" s="35"/>
      <c r="D535" s="100">
        <v>10.0</v>
      </c>
      <c r="E535" s="111"/>
      <c r="F535" s="35"/>
      <c r="G535" s="14"/>
      <c r="H535" s="14"/>
      <c r="I535" s="14"/>
    </row>
    <row r="536">
      <c r="A536" s="35"/>
      <c r="B536" s="35"/>
      <c r="C536" s="35"/>
      <c r="D536" s="100">
        <v>7.0</v>
      </c>
      <c r="E536" s="111"/>
      <c r="F536" s="35"/>
      <c r="G536" s="14"/>
      <c r="H536" s="14"/>
      <c r="I536" s="14"/>
    </row>
    <row r="537">
      <c r="A537" s="35"/>
      <c r="B537" s="35"/>
      <c r="C537" s="35"/>
      <c r="D537" s="100">
        <v>6.0</v>
      </c>
      <c r="E537" s="111"/>
      <c r="F537" s="35"/>
      <c r="G537" s="14"/>
      <c r="H537" s="14"/>
      <c r="I537" s="14"/>
    </row>
    <row r="538">
      <c r="A538" s="35"/>
      <c r="B538" s="35"/>
      <c r="C538" s="35"/>
      <c r="D538" s="100">
        <v>14.0</v>
      </c>
      <c r="E538" s="111"/>
      <c r="F538" s="35"/>
      <c r="G538" s="14"/>
      <c r="H538" s="14"/>
      <c r="I538" s="14"/>
    </row>
    <row r="539">
      <c r="A539" s="35"/>
      <c r="B539" s="35"/>
      <c r="C539" s="35"/>
      <c r="D539" s="100">
        <v>6.0</v>
      </c>
      <c r="E539" s="111"/>
      <c r="F539" s="35"/>
      <c r="G539" s="14">
        <f>count(D521:D539)</f>
        <v>19</v>
      </c>
      <c r="H539" s="14">
        <f>average(D521:D539)</f>
        <v>8.105263158</v>
      </c>
      <c r="I539" s="14"/>
    </row>
    <row r="540">
      <c r="D540" s="104"/>
      <c r="E540" s="104"/>
      <c r="G540" s="14"/>
      <c r="H540" s="14"/>
      <c r="I540" s="14"/>
    </row>
    <row r="541">
      <c r="A541" s="37" t="s">
        <v>144</v>
      </c>
      <c r="B541" s="38"/>
      <c r="C541" s="38"/>
      <c r="D541" s="38"/>
      <c r="E541" s="38"/>
      <c r="F541" s="39"/>
      <c r="G541" s="14"/>
      <c r="H541" s="14"/>
      <c r="I541" s="14"/>
    </row>
    <row r="542">
      <c r="A542" s="37" t="s">
        <v>355</v>
      </c>
      <c r="B542" s="38"/>
      <c r="C542" s="38"/>
      <c r="D542" s="38"/>
      <c r="E542" s="38"/>
      <c r="F542" s="39"/>
      <c r="G542" s="14"/>
      <c r="H542" s="14"/>
      <c r="I542" s="14"/>
    </row>
    <row r="543">
      <c r="A543" s="37" t="s">
        <v>366</v>
      </c>
      <c r="B543" s="38"/>
      <c r="C543" s="38"/>
      <c r="D543" s="38"/>
      <c r="E543" s="38"/>
      <c r="F543" s="39"/>
      <c r="G543" s="14"/>
      <c r="H543" s="14"/>
      <c r="I543" s="14"/>
    </row>
    <row r="544">
      <c r="A544" s="37"/>
      <c r="B544" s="38"/>
      <c r="C544" s="38"/>
      <c r="D544" s="38"/>
      <c r="E544" s="38"/>
      <c r="F544" s="39"/>
      <c r="G544" s="14"/>
      <c r="H544" s="14"/>
      <c r="I544" s="14"/>
    </row>
    <row r="545">
      <c r="A545" s="1" t="s">
        <v>0</v>
      </c>
      <c r="B545" s="2" t="s">
        <v>392</v>
      </c>
      <c r="C545" s="2" t="s">
        <v>393</v>
      </c>
      <c r="D545" s="2" t="s">
        <v>394</v>
      </c>
      <c r="E545" s="2" t="s">
        <v>395</v>
      </c>
      <c r="F545" s="6" t="s">
        <v>396</v>
      </c>
      <c r="G545" s="14"/>
      <c r="H545" s="14"/>
      <c r="I545" s="14"/>
    </row>
    <row r="546">
      <c r="A546" s="28">
        <v>5.0</v>
      </c>
      <c r="B546" s="28"/>
      <c r="C546" s="28" t="s">
        <v>115</v>
      </c>
      <c r="D546" s="100">
        <v>7.0</v>
      </c>
      <c r="E546" s="111"/>
      <c r="F546" s="35"/>
      <c r="G546" s="14"/>
      <c r="H546" s="14"/>
      <c r="I546" s="14"/>
    </row>
    <row r="547">
      <c r="A547" s="35"/>
      <c r="B547" s="35"/>
      <c r="C547" s="35"/>
      <c r="D547" s="100">
        <v>3.0</v>
      </c>
      <c r="E547" s="111"/>
      <c r="F547" s="35"/>
      <c r="G547" s="107">
        <f>COUNT(D546:D547)</f>
        <v>2</v>
      </c>
      <c r="H547" s="107">
        <f>AVERAGE(D546:D547)</f>
        <v>5</v>
      </c>
      <c r="I547" s="14"/>
    </row>
    <row r="548">
      <c r="A548" s="28">
        <v>6.0</v>
      </c>
      <c r="B548" s="35"/>
      <c r="C548" s="28" t="s">
        <v>115</v>
      </c>
      <c r="D548" s="100">
        <v>10.0</v>
      </c>
      <c r="E548" s="111"/>
      <c r="F548" s="35"/>
      <c r="G548" s="14"/>
      <c r="H548" s="14"/>
      <c r="I548" s="14"/>
    </row>
    <row r="549">
      <c r="A549" s="35"/>
      <c r="B549" s="35"/>
      <c r="C549" s="35"/>
      <c r="D549" s="100">
        <v>17.0</v>
      </c>
      <c r="E549" s="111"/>
      <c r="F549" s="35"/>
      <c r="G549" s="14"/>
      <c r="H549" s="14"/>
      <c r="I549" s="14"/>
    </row>
    <row r="550">
      <c r="A550" s="28"/>
      <c r="B550" s="28"/>
      <c r="C550" s="28"/>
      <c r="D550" s="100">
        <v>8.0</v>
      </c>
      <c r="E550" s="111"/>
      <c r="F550" s="35"/>
      <c r="G550" s="14"/>
      <c r="H550" s="14"/>
      <c r="I550" s="14"/>
    </row>
    <row r="551">
      <c r="A551" s="35"/>
      <c r="B551" s="35"/>
      <c r="C551" s="35"/>
      <c r="D551" s="100">
        <v>6.0</v>
      </c>
      <c r="E551" s="111"/>
      <c r="F551" s="35"/>
      <c r="G551" s="14"/>
      <c r="H551" s="14"/>
      <c r="I551" s="14"/>
    </row>
    <row r="552">
      <c r="A552" s="35"/>
      <c r="B552" s="35"/>
      <c r="C552" s="35"/>
      <c r="D552" s="100">
        <v>7.0</v>
      </c>
      <c r="E552" s="111"/>
      <c r="F552" s="35"/>
      <c r="G552" s="107">
        <f>COUNT(D548:D552)</f>
        <v>5</v>
      </c>
      <c r="H552" s="107">
        <f>AVERAGE(D548:D552)</f>
        <v>9.6</v>
      </c>
      <c r="I552" s="14"/>
    </row>
    <row r="553">
      <c r="D553" s="104"/>
      <c r="E553" s="104"/>
      <c r="G553" s="14"/>
      <c r="H553" s="14"/>
      <c r="I553" s="14"/>
    </row>
    <row r="554">
      <c r="A554" s="37" t="s">
        <v>144</v>
      </c>
      <c r="B554" s="38"/>
      <c r="C554" s="38"/>
      <c r="D554" s="38"/>
      <c r="E554" s="38"/>
      <c r="F554" s="39"/>
      <c r="G554" s="14"/>
      <c r="H554" s="14"/>
      <c r="I554" s="14"/>
    </row>
    <row r="555">
      <c r="A555" s="37" t="s">
        <v>276</v>
      </c>
      <c r="B555" s="38"/>
      <c r="C555" s="38"/>
      <c r="D555" s="38"/>
      <c r="E555" s="38"/>
      <c r="F555" s="39"/>
      <c r="G555" s="14"/>
      <c r="H555" s="14"/>
      <c r="I555" s="14"/>
    </row>
    <row r="556">
      <c r="A556" s="37" t="s">
        <v>366</v>
      </c>
      <c r="B556" s="38"/>
      <c r="C556" s="38"/>
      <c r="D556" s="38"/>
      <c r="E556" s="38"/>
      <c r="F556" s="39"/>
      <c r="G556" s="14"/>
      <c r="H556" s="14"/>
      <c r="I556" s="14"/>
    </row>
    <row r="557">
      <c r="A557" s="37"/>
      <c r="B557" s="38"/>
      <c r="C557" s="38"/>
      <c r="D557" s="38"/>
      <c r="E557" s="38"/>
      <c r="F557" s="39"/>
      <c r="G557" s="14"/>
      <c r="H557" s="14"/>
      <c r="I557" s="14"/>
    </row>
    <row r="558">
      <c r="A558" s="1" t="s">
        <v>0</v>
      </c>
      <c r="B558" s="2" t="s">
        <v>397</v>
      </c>
      <c r="C558" s="2" t="s">
        <v>398</v>
      </c>
      <c r="D558" s="2" t="s">
        <v>399</v>
      </c>
      <c r="E558" s="2" t="s">
        <v>400</v>
      </c>
      <c r="F558" s="6" t="s">
        <v>401</v>
      </c>
      <c r="G558" s="14"/>
      <c r="H558" s="14"/>
      <c r="I558" s="14"/>
    </row>
    <row r="559">
      <c r="A559" s="28">
        <v>1.0</v>
      </c>
      <c r="B559" s="28"/>
      <c r="C559" s="28" t="s">
        <v>116</v>
      </c>
      <c r="D559" s="100">
        <v>10.0</v>
      </c>
      <c r="E559" s="111"/>
      <c r="F559" s="35"/>
      <c r="G559" s="108">
        <v>1.0</v>
      </c>
      <c r="H559" s="108">
        <v>10.0</v>
      </c>
      <c r="I559" s="14"/>
      <c r="J559" s="112" t="s">
        <v>402</v>
      </c>
      <c r="K559" s="106"/>
      <c r="L559" s="106"/>
    </row>
    <row r="560">
      <c r="A560" s="28">
        <v>4.0</v>
      </c>
      <c r="B560" s="35"/>
      <c r="C560" s="28" t="s">
        <v>116</v>
      </c>
      <c r="D560" s="100">
        <v>5.0</v>
      </c>
      <c r="E560" s="111"/>
      <c r="F560" s="35"/>
      <c r="G560" s="108">
        <v>1.0</v>
      </c>
      <c r="H560" s="108">
        <v>5.0</v>
      </c>
      <c r="I560" s="14"/>
    </row>
    <row r="561">
      <c r="A561" s="28">
        <v>5.0</v>
      </c>
      <c r="B561" s="35"/>
      <c r="C561" s="28" t="s">
        <v>116</v>
      </c>
      <c r="D561" s="100">
        <v>8.0</v>
      </c>
      <c r="E561" s="111"/>
      <c r="F561" s="35"/>
      <c r="G561" s="14"/>
      <c r="H561" s="14"/>
      <c r="I561" s="14"/>
    </row>
    <row r="562">
      <c r="A562" s="35"/>
      <c r="B562" s="35"/>
      <c r="C562" s="35"/>
      <c r="D562" s="100">
        <v>6.0</v>
      </c>
      <c r="E562" s="111"/>
      <c r="F562" s="35"/>
      <c r="G562" s="14"/>
      <c r="H562" s="14"/>
      <c r="I562" s="14"/>
    </row>
    <row r="563">
      <c r="A563" s="28"/>
      <c r="B563" s="28"/>
      <c r="C563" s="28"/>
      <c r="D563" s="100">
        <v>6.0</v>
      </c>
      <c r="E563" s="111"/>
      <c r="F563" s="35"/>
      <c r="G563" s="14"/>
      <c r="H563" s="14"/>
      <c r="I563" s="14"/>
    </row>
    <row r="564">
      <c r="A564" s="35"/>
      <c r="B564" s="35"/>
      <c r="C564" s="35"/>
      <c r="D564" s="100">
        <v>7.0</v>
      </c>
      <c r="E564" s="111"/>
      <c r="F564" s="35"/>
      <c r="G564" s="107">
        <f>COUNT(D561:D564)</f>
        <v>4</v>
      </c>
      <c r="H564" s="107">
        <f>AVERAGE(D561:D564)</f>
        <v>6.75</v>
      </c>
      <c r="I564" s="14"/>
    </row>
    <row r="565">
      <c r="A565" s="28">
        <v>7.0</v>
      </c>
      <c r="B565" s="35"/>
      <c r="C565" s="28" t="s">
        <v>116</v>
      </c>
      <c r="D565" s="100">
        <v>10.0</v>
      </c>
      <c r="E565" s="111"/>
      <c r="F565" s="35"/>
      <c r="G565" s="14"/>
      <c r="H565" s="14"/>
      <c r="I565" s="14"/>
    </row>
    <row r="566">
      <c r="A566" s="35"/>
      <c r="B566" s="35"/>
      <c r="C566" s="35"/>
      <c r="D566" s="100">
        <v>9.0</v>
      </c>
      <c r="E566" s="111"/>
      <c r="F566" s="35"/>
      <c r="G566" s="107">
        <f>COUNT(D565:D566)</f>
        <v>2</v>
      </c>
      <c r="H566" s="107">
        <f>AVERAGE(D565:D566)</f>
        <v>9.5</v>
      </c>
      <c r="I566" s="14"/>
    </row>
    <row r="567">
      <c r="A567" s="28">
        <v>8.0</v>
      </c>
      <c r="B567" s="35"/>
      <c r="C567" s="28" t="s">
        <v>116</v>
      </c>
      <c r="D567" s="100">
        <v>13.0</v>
      </c>
      <c r="E567" s="111"/>
      <c r="F567" s="35"/>
      <c r="G567" s="14"/>
      <c r="H567" s="14"/>
      <c r="I567" s="14"/>
    </row>
    <row r="568">
      <c r="A568" s="28"/>
      <c r="B568" s="35"/>
      <c r="C568" s="28"/>
      <c r="D568" s="100">
        <v>9.0</v>
      </c>
      <c r="E568" s="111"/>
      <c r="F568" s="35"/>
      <c r="G568" s="107">
        <f>COUNT(D567:D568)</f>
        <v>2</v>
      </c>
      <c r="H568" s="107">
        <f>AVERAGE(D567:D568)</f>
        <v>11</v>
      </c>
      <c r="I568" s="14"/>
    </row>
    <row r="569">
      <c r="D569" s="104"/>
      <c r="E569" s="104"/>
      <c r="G569" s="14"/>
      <c r="H569" s="14"/>
      <c r="I569" s="14"/>
    </row>
    <row r="570">
      <c r="A570" s="92" t="s">
        <v>144</v>
      </c>
      <c r="B570" s="38"/>
      <c r="C570" s="38"/>
      <c r="D570" s="38"/>
      <c r="E570" s="38"/>
      <c r="F570" s="39"/>
      <c r="G570" s="14"/>
      <c r="H570" s="14"/>
      <c r="I570" s="14"/>
    </row>
    <row r="571">
      <c r="A571" s="113" t="s">
        <v>288</v>
      </c>
      <c r="B571" s="38"/>
      <c r="C571" s="38"/>
      <c r="D571" s="38"/>
      <c r="E571" s="38"/>
      <c r="F571" s="39"/>
      <c r="G571" s="14"/>
      <c r="H571" s="14"/>
      <c r="I571" s="14"/>
    </row>
    <row r="572">
      <c r="A572" s="92" t="s">
        <v>366</v>
      </c>
      <c r="B572" s="38"/>
      <c r="C572" s="38"/>
      <c r="D572" s="38"/>
      <c r="E572" s="38"/>
      <c r="F572" s="39"/>
      <c r="G572" s="14"/>
      <c r="H572" s="14"/>
      <c r="I572" s="14"/>
    </row>
    <row r="573">
      <c r="A573" s="114"/>
      <c r="B573" s="38"/>
      <c r="C573" s="38"/>
      <c r="D573" s="38"/>
      <c r="E573" s="38"/>
      <c r="F573" s="39"/>
      <c r="G573" s="14"/>
      <c r="H573" s="14"/>
      <c r="I573" s="14"/>
    </row>
    <row r="574">
      <c r="A574" s="115" t="s">
        <v>0</v>
      </c>
      <c r="B574" s="95" t="s">
        <v>403</v>
      </c>
      <c r="C574" s="95" t="s">
        <v>404</v>
      </c>
      <c r="D574" s="95" t="s">
        <v>405</v>
      </c>
      <c r="E574" s="95" t="s">
        <v>406</v>
      </c>
      <c r="F574" s="96" t="s">
        <v>407</v>
      </c>
      <c r="G574" s="14"/>
      <c r="H574" s="14"/>
      <c r="I574" s="14"/>
    </row>
    <row r="575">
      <c r="A575" s="99">
        <v>2.0</v>
      </c>
      <c r="B575" s="97"/>
      <c r="C575" s="99" t="s">
        <v>117</v>
      </c>
      <c r="D575" s="99">
        <v>9.0</v>
      </c>
      <c r="E575" s="97"/>
      <c r="F575" s="97"/>
      <c r="G575" s="14"/>
      <c r="H575" s="14"/>
      <c r="I575" s="14"/>
      <c r="J575" s="112" t="s">
        <v>408</v>
      </c>
      <c r="K575" s="106"/>
    </row>
    <row r="576">
      <c r="A576" s="97"/>
      <c r="B576" s="97"/>
      <c r="C576" s="99"/>
      <c r="D576" s="99">
        <v>14.0</v>
      </c>
      <c r="E576" s="97"/>
      <c r="F576" s="97"/>
      <c r="G576" s="107">
        <f>COUNT(D575:D576)</f>
        <v>2</v>
      </c>
      <c r="H576" s="107">
        <f>AVERAGE(D575:D576)</f>
        <v>11.5</v>
      </c>
      <c r="I576" s="14"/>
    </row>
    <row r="577">
      <c r="A577" s="99">
        <v>6.0</v>
      </c>
      <c r="B577" s="97"/>
      <c r="C577" s="99" t="s">
        <v>117</v>
      </c>
      <c r="D577" s="99">
        <v>7.0</v>
      </c>
      <c r="E577" s="97"/>
      <c r="F577" s="97"/>
      <c r="G577" s="108">
        <v>1.0</v>
      </c>
      <c r="H577" s="108">
        <v>7.0</v>
      </c>
      <c r="I577" s="14"/>
    </row>
    <row r="578">
      <c r="A578" s="99">
        <v>7.0</v>
      </c>
      <c r="B578" s="97"/>
      <c r="C578" s="99" t="s">
        <v>117</v>
      </c>
      <c r="D578" s="99">
        <v>5.0</v>
      </c>
      <c r="E578" s="97"/>
      <c r="F578" s="97"/>
      <c r="G578" s="14"/>
      <c r="H578" s="14"/>
      <c r="I578" s="14"/>
    </row>
    <row r="579">
      <c r="A579" s="99"/>
      <c r="B579" s="97"/>
      <c r="C579" s="97"/>
      <c r="D579" s="99">
        <v>8.0</v>
      </c>
      <c r="E579" s="97"/>
      <c r="F579" s="97"/>
      <c r="G579" s="108">
        <v>2.0</v>
      </c>
      <c r="H579" s="107">
        <f>AVERAGE(D578:D579)</f>
        <v>6.5</v>
      </c>
      <c r="I579" s="14"/>
    </row>
    <row r="580">
      <c r="A580" s="99">
        <v>8.0</v>
      </c>
      <c r="B580" s="97"/>
      <c r="C580" s="99" t="s">
        <v>117</v>
      </c>
      <c r="D580" s="99">
        <v>28.0</v>
      </c>
      <c r="E580" s="97"/>
      <c r="F580" s="97"/>
      <c r="G580" s="108">
        <v>1.0</v>
      </c>
      <c r="H580" s="108">
        <v>28.0</v>
      </c>
      <c r="I580" s="14"/>
    </row>
    <row r="581">
      <c r="D581" s="104"/>
      <c r="E581" s="104"/>
      <c r="G581" s="14"/>
      <c r="H581" s="14"/>
      <c r="I581" s="14"/>
    </row>
    <row r="582">
      <c r="D582" s="104"/>
      <c r="E582" s="104"/>
      <c r="G582" s="14"/>
      <c r="H582" s="14"/>
      <c r="I582" s="14"/>
    </row>
    <row r="583">
      <c r="D583" s="104"/>
      <c r="E583" s="104"/>
      <c r="G583" s="14"/>
      <c r="H583" s="14"/>
      <c r="I583" s="14"/>
    </row>
    <row r="584">
      <c r="D584" s="104"/>
      <c r="E584" s="104"/>
      <c r="G584" s="14"/>
      <c r="H584" s="14"/>
      <c r="I584" s="14"/>
    </row>
    <row r="585">
      <c r="D585" s="104"/>
      <c r="E585" s="104"/>
      <c r="G585" s="14"/>
      <c r="H585" s="14"/>
      <c r="I585" s="14"/>
    </row>
    <row r="586">
      <c r="D586" s="104"/>
      <c r="E586" s="104"/>
      <c r="G586" s="14"/>
      <c r="H586" s="14"/>
      <c r="I586" s="14"/>
    </row>
    <row r="587">
      <c r="D587" s="104"/>
      <c r="E587" s="104"/>
      <c r="G587" s="14"/>
      <c r="H587" s="14"/>
      <c r="I587" s="14"/>
    </row>
    <row r="588">
      <c r="D588" s="104"/>
      <c r="E588" s="104"/>
      <c r="G588" s="14"/>
      <c r="H588" s="14"/>
      <c r="I588" s="14"/>
    </row>
    <row r="589">
      <c r="D589" s="104"/>
      <c r="E589" s="104"/>
      <c r="G589" s="14"/>
      <c r="H589" s="14"/>
      <c r="I589" s="14"/>
    </row>
    <row r="590">
      <c r="D590" s="104"/>
      <c r="E590" s="104"/>
      <c r="G590" s="14"/>
      <c r="H590" s="14"/>
      <c r="I590" s="14"/>
    </row>
    <row r="591">
      <c r="D591" s="104"/>
      <c r="E591" s="104"/>
      <c r="G591" s="14"/>
      <c r="H591" s="14"/>
      <c r="I591" s="14"/>
    </row>
    <row r="592">
      <c r="D592" s="104"/>
      <c r="E592" s="104"/>
      <c r="G592" s="14"/>
      <c r="H592" s="14"/>
      <c r="I592" s="14"/>
    </row>
    <row r="593">
      <c r="D593" s="104"/>
      <c r="E593" s="104"/>
      <c r="G593" s="14"/>
      <c r="H593" s="14"/>
      <c r="I593" s="14"/>
    </row>
    <row r="594">
      <c r="D594" s="104"/>
      <c r="E594" s="104"/>
      <c r="G594" s="14"/>
      <c r="H594" s="14"/>
      <c r="I594" s="14"/>
    </row>
    <row r="595">
      <c r="D595" s="104"/>
      <c r="E595" s="104"/>
      <c r="G595" s="14"/>
      <c r="H595" s="14"/>
      <c r="I595" s="14"/>
    </row>
    <row r="596">
      <c r="D596" s="104"/>
      <c r="E596" s="104"/>
      <c r="G596" s="14"/>
      <c r="H596" s="14"/>
      <c r="I596" s="14"/>
    </row>
    <row r="597">
      <c r="D597" s="104"/>
      <c r="E597" s="104"/>
      <c r="G597" s="14"/>
      <c r="H597" s="14"/>
      <c r="I597" s="14"/>
    </row>
    <row r="598">
      <c r="D598" s="104"/>
      <c r="E598" s="104"/>
      <c r="G598" s="14"/>
      <c r="H598" s="14"/>
      <c r="I598" s="14"/>
    </row>
    <row r="599">
      <c r="D599" s="104"/>
      <c r="E599" s="104"/>
      <c r="G599" s="14"/>
      <c r="H599" s="14"/>
      <c r="I599" s="14"/>
    </row>
    <row r="600">
      <c r="D600" s="104"/>
      <c r="E600" s="104"/>
      <c r="G600" s="14"/>
      <c r="H600" s="14"/>
      <c r="I600" s="14"/>
    </row>
    <row r="601">
      <c r="D601" s="104"/>
      <c r="E601" s="104"/>
      <c r="G601" s="14"/>
      <c r="H601" s="14"/>
      <c r="I601" s="14"/>
    </row>
    <row r="602">
      <c r="D602" s="104"/>
      <c r="E602" s="104"/>
      <c r="G602" s="14"/>
      <c r="H602" s="14"/>
      <c r="I602" s="14"/>
    </row>
    <row r="603">
      <c r="D603" s="104"/>
      <c r="E603" s="104"/>
      <c r="G603" s="14"/>
      <c r="H603" s="14"/>
      <c r="I603" s="14"/>
    </row>
    <row r="604">
      <c r="D604" s="104"/>
      <c r="E604" s="104"/>
      <c r="G604" s="14"/>
      <c r="H604" s="14"/>
      <c r="I604" s="14"/>
    </row>
    <row r="605">
      <c r="D605" s="104"/>
      <c r="E605" s="104"/>
      <c r="G605" s="14"/>
      <c r="H605" s="14"/>
      <c r="I605" s="14"/>
    </row>
    <row r="606">
      <c r="D606" s="104"/>
      <c r="E606" s="104"/>
      <c r="G606" s="14"/>
      <c r="H606" s="14"/>
      <c r="I606" s="14"/>
    </row>
    <row r="607">
      <c r="D607" s="104"/>
      <c r="E607" s="104"/>
      <c r="G607" s="14"/>
      <c r="H607" s="14"/>
      <c r="I607" s="14"/>
    </row>
    <row r="608">
      <c r="D608" s="104"/>
      <c r="E608" s="104"/>
      <c r="G608" s="14"/>
      <c r="H608" s="14"/>
      <c r="I608" s="14"/>
    </row>
    <row r="609">
      <c r="D609" s="104"/>
      <c r="E609" s="104"/>
      <c r="G609" s="14"/>
      <c r="H609" s="14"/>
      <c r="I609" s="14"/>
    </row>
    <row r="610">
      <c r="D610" s="104"/>
      <c r="E610" s="104"/>
      <c r="G610" s="14"/>
      <c r="H610" s="14"/>
      <c r="I610" s="14"/>
    </row>
    <row r="611">
      <c r="D611" s="104"/>
      <c r="E611" s="104"/>
      <c r="G611" s="14"/>
      <c r="H611" s="14"/>
      <c r="I611" s="14"/>
    </row>
    <row r="612">
      <c r="D612" s="104"/>
      <c r="E612" s="104"/>
      <c r="G612" s="14"/>
      <c r="H612" s="14"/>
      <c r="I612" s="14"/>
    </row>
    <row r="613">
      <c r="D613" s="104"/>
      <c r="E613" s="104"/>
      <c r="G613" s="14"/>
      <c r="H613" s="14"/>
      <c r="I613" s="14"/>
    </row>
    <row r="614">
      <c r="D614" s="104"/>
      <c r="E614" s="104"/>
      <c r="G614" s="14"/>
      <c r="H614" s="14"/>
      <c r="I614" s="14"/>
    </row>
    <row r="615">
      <c r="D615" s="104"/>
      <c r="E615" s="104"/>
      <c r="G615" s="14"/>
      <c r="H615" s="14"/>
      <c r="I615" s="14"/>
    </row>
    <row r="616">
      <c r="D616" s="104"/>
      <c r="E616" s="104"/>
      <c r="G616" s="14"/>
      <c r="H616" s="14"/>
      <c r="I616" s="14"/>
    </row>
    <row r="617">
      <c r="D617" s="104"/>
      <c r="E617" s="104"/>
      <c r="G617" s="14"/>
      <c r="H617" s="14"/>
      <c r="I617" s="14"/>
    </row>
    <row r="618">
      <c r="D618" s="104"/>
      <c r="E618" s="104"/>
      <c r="G618" s="14"/>
      <c r="H618" s="14"/>
      <c r="I618" s="14"/>
    </row>
    <row r="619">
      <c r="D619" s="104"/>
      <c r="E619" s="104"/>
      <c r="G619" s="14"/>
      <c r="H619" s="14"/>
      <c r="I619" s="14"/>
    </row>
    <row r="620">
      <c r="D620" s="104"/>
      <c r="E620" s="104"/>
      <c r="G620" s="14"/>
      <c r="H620" s="14"/>
      <c r="I620" s="14"/>
    </row>
    <row r="621">
      <c r="D621" s="104"/>
      <c r="E621" s="104"/>
      <c r="G621" s="14"/>
      <c r="H621" s="14"/>
      <c r="I621" s="14"/>
    </row>
    <row r="622">
      <c r="D622" s="104"/>
      <c r="E622" s="104"/>
      <c r="G622" s="14"/>
      <c r="H622" s="14"/>
      <c r="I622" s="14"/>
    </row>
    <row r="623">
      <c r="D623" s="104"/>
      <c r="E623" s="104"/>
      <c r="G623" s="14"/>
      <c r="H623" s="14"/>
      <c r="I623" s="14"/>
    </row>
    <row r="624">
      <c r="D624" s="104"/>
      <c r="E624" s="104"/>
      <c r="G624" s="14"/>
      <c r="H624" s="14"/>
      <c r="I624" s="14"/>
    </row>
    <row r="625">
      <c r="D625" s="104"/>
      <c r="E625" s="104"/>
      <c r="G625" s="14"/>
      <c r="H625" s="14"/>
      <c r="I625" s="14"/>
    </row>
    <row r="626">
      <c r="D626" s="104"/>
      <c r="E626" s="104"/>
      <c r="G626" s="14"/>
      <c r="H626" s="14"/>
      <c r="I626" s="14"/>
    </row>
    <row r="627">
      <c r="D627" s="104"/>
      <c r="E627" s="104"/>
      <c r="G627" s="14"/>
      <c r="H627" s="14"/>
      <c r="I627" s="14"/>
    </row>
    <row r="628">
      <c r="D628" s="104"/>
      <c r="E628" s="104"/>
      <c r="G628" s="14"/>
      <c r="H628" s="14"/>
      <c r="I628" s="14"/>
    </row>
    <row r="629">
      <c r="D629" s="104"/>
      <c r="E629" s="104"/>
      <c r="G629" s="14"/>
      <c r="H629" s="14"/>
      <c r="I629" s="14"/>
    </row>
    <row r="630">
      <c r="D630" s="104"/>
      <c r="E630" s="104"/>
      <c r="G630" s="14"/>
      <c r="H630" s="14"/>
      <c r="I630" s="14"/>
    </row>
    <row r="631">
      <c r="D631" s="104"/>
      <c r="E631" s="104"/>
      <c r="G631" s="14"/>
      <c r="H631" s="14"/>
      <c r="I631" s="14"/>
    </row>
    <row r="632">
      <c r="D632" s="104"/>
      <c r="E632" s="104"/>
      <c r="G632" s="14"/>
      <c r="H632" s="14"/>
      <c r="I632" s="14"/>
    </row>
    <row r="633">
      <c r="D633" s="104"/>
      <c r="E633" s="104"/>
      <c r="G633" s="14"/>
      <c r="H633" s="14"/>
      <c r="I633" s="14"/>
    </row>
    <row r="634">
      <c r="D634" s="104"/>
      <c r="E634" s="104"/>
      <c r="G634" s="14"/>
      <c r="H634" s="14"/>
      <c r="I634" s="14"/>
    </row>
    <row r="635">
      <c r="D635" s="104"/>
      <c r="E635" s="104"/>
      <c r="G635" s="14"/>
      <c r="H635" s="14"/>
      <c r="I635" s="14"/>
    </row>
    <row r="636">
      <c r="D636" s="104"/>
      <c r="E636" s="104"/>
      <c r="G636" s="14"/>
      <c r="H636" s="14"/>
      <c r="I636" s="14"/>
    </row>
    <row r="637">
      <c r="D637" s="104"/>
      <c r="E637" s="104"/>
      <c r="G637" s="14"/>
      <c r="H637" s="14"/>
      <c r="I637" s="14"/>
    </row>
    <row r="638">
      <c r="D638" s="104"/>
      <c r="E638" s="104"/>
      <c r="G638" s="14"/>
      <c r="H638" s="14"/>
      <c r="I638" s="14"/>
    </row>
    <row r="639">
      <c r="D639" s="104"/>
      <c r="E639" s="104"/>
      <c r="G639" s="14"/>
      <c r="H639" s="14"/>
      <c r="I639" s="14"/>
    </row>
    <row r="640">
      <c r="D640" s="104"/>
      <c r="E640" s="104"/>
      <c r="G640" s="14"/>
      <c r="H640" s="14"/>
      <c r="I640" s="14"/>
    </row>
    <row r="641">
      <c r="D641" s="104"/>
      <c r="E641" s="104"/>
      <c r="G641" s="14"/>
      <c r="H641" s="14"/>
      <c r="I641" s="14"/>
    </row>
    <row r="642">
      <c r="D642" s="104"/>
      <c r="E642" s="104"/>
      <c r="G642" s="14"/>
      <c r="H642" s="14"/>
      <c r="I642" s="14"/>
    </row>
    <row r="643">
      <c r="D643" s="104"/>
      <c r="E643" s="104"/>
      <c r="G643" s="14"/>
      <c r="H643" s="14"/>
      <c r="I643" s="14"/>
    </row>
    <row r="644">
      <c r="D644" s="104"/>
      <c r="E644" s="104"/>
      <c r="G644" s="14"/>
      <c r="H644" s="14"/>
      <c r="I644" s="14"/>
    </row>
    <row r="645">
      <c r="D645" s="104"/>
      <c r="E645" s="104"/>
      <c r="G645" s="14"/>
      <c r="H645" s="14"/>
      <c r="I645" s="14"/>
    </row>
    <row r="646">
      <c r="D646" s="104"/>
      <c r="E646" s="104"/>
      <c r="G646" s="14"/>
      <c r="H646" s="14"/>
      <c r="I646" s="14"/>
    </row>
    <row r="647">
      <c r="D647" s="104"/>
      <c r="E647" s="104"/>
      <c r="G647" s="14"/>
      <c r="H647" s="14"/>
      <c r="I647" s="14"/>
    </row>
    <row r="648">
      <c r="D648" s="104"/>
      <c r="E648" s="104"/>
      <c r="G648" s="14"/>
      <c r="H648" s="14"/>
      <c r="I648" s="14"/>
    </row>
    <row r="649">
      <c r="D649" s="104"/>
      <c r="E649" s="104"/>
      <c r="G649" s="14"/>
      <c r="H649" s="14"/>
      <c r="I649" s="14"/>
    </row>
    <row r="650">
      <c r="D650" s="104"/>
      <c r="E650" s="104"/>
      <c r="G650" s="14"/>
      <c r="H650" s="14"/>
      <c r="I650" s="14"/>
    </row>
    <row r="651">
      <c r="D651" s="104"/>
      <c r="E651" s="104"/>
      <c r="G651" s="14"/>
      <c r="H651" s="14"/>
      <c r="I651" s="14"/>
    </row>
    <row r="652">
      <c r="D652" s="104"/>
      <c r="E652" s="104"/>
      <c r="G652" s="14"/>
      <c r="H652" s="14"/>
      <c r="I652" s="14"/>
    </row>
    <row r="653">
      <c r="D653" s="104"/>
      <c r="E653" s="104"/>
      <c r="G653" s="14"/>
      <c r="H653" s="14"/>
      <c r="I653" s="14"/>
    </row>
    <row r="654">
      <c r="D654" s="104"/>
      <c r="E654" s="104"/>
      <c r="G654" s="14"/>
      <c r="H654" s="14"/>
      <c r="I654" s="14"/>
    </row>
    <row r="655">
      <c r="D655" s="104"/>
      <c r="E655" s="104"/>
      <c r="G655" s="14"/>
      <c r="H655" s="14"/>
      <c r="I655" s="14"/>
    </row>
    <row r="656">
      <c r="D656" s="104"/>
      <c r="E656" s="104"/>
      <c r="G656" s="14"/>
      <c r="H656" s="14"/>
      <c r="I656" s="14"/>
    </row>
    <row r="657">
      <c r="D657" s="104"/>
      <c r="E657" s="104"/>
      <c r="G657" s="14"/>
      <c r="H657" s="14"/>
      <c r="I657" s="14"/>
    </row>
    <row r="658">
      <c r="D658" s="104"/>
      <c r="E658" s="104"/>
      <c r="G658" s="14"/>
      <c r="H658" s="14"/>
      <c r="I658" s="14"/>
    </row>
    <row r="659">
      <c r="D659" s="104"/>
      <c r="E659" s="104"/>
      <c r="G659" s="14"/>
      <c r="H659" s="14"/>
      <c r="I659" s="14"/>
    </row>
    <row r="660">
      <c r="D660" s="104"/>
      <c r="E660" s="104"/>
      <c r="G660" s="14"/>
      <c r="H660" s="14"/>
      <c r="I660" s="14"/>
    </row>
    <row r="661">
      <c r="D661" s="104"/>
      <c r="E661" s="104"/>
      <c r="G661" s="14"/>
      <c r="H661" s="14"/>
      <c r="I661" s="14"/>
    </row>
    <row r="662">
      <c r="D662" s="104"/>
      <c r="E662" s="104"/>
      <c r="G662" s="14"/>
      <c r="H662" s="14"/>
      <c r="I662" s="14"/>
    </row>
    <row r="663">
      <c r="D663" s="104"/>
      <c r="E663" s="104"/>
      <c r="G663" s="14"/>
      <c r="H663" s="14"/>
      <c r="I663" s="14"/>
    </row>
    <row r="664">
      <c r="D664" s="104"/>
      <c r="E664" s="104"/>
      <c r="G664" s="14"/>
      <c r="H664" s="14"/>
      <c r="I664" s="14"/>
    </row>
    <row r="665">
      <c r="D665" s="104"/>
      <c r="E665" s="104"/>
      <c r="G665" s="14"/>
      <c r="H665" s="14"/>
      <c r="I665" s="14"/>
    </row>
    <row r="666">
      <c r="D666" s="104"/>
      <c r="E666" s="104"/>
      <c r="G666" s="14"/>
      <c r="H666" s="14"/>
      <c r="I666" s="14"/>
    </row>
    <row r="667">
      <c r="D667" s="104"/>
      <c r="E667" s="104"/>
      <c r="G667" s="14"/>
      <c r="H667" s="14"/>
      <c r="I667" s="14"/>
    </row>
    <row r="668">
      <c r="D668" s="104"/>
      <c r="E668" s="104"/>
      <c r="G668" s="14"/>
      <c r="H668" s="14"/>
      <c r="I668" s="14"/>
    </row>
    <row r="669">
      <c r="D669" s="104"/>
      <c r="E669" s="104"/>
      <c r="G669" s="14"/>
      <c r="H669" s="14"/>
      <c r="I669" s="14"/>
    </row>
    <row r="670">
      <c r="D670" s="104"/>
      <c r="E670" s="104"/>
      <c r="G670" s="14"/>
      <c r="H670" s="14"/>
      <c r="I670" s="14"/>
    </row>
    <row r="671">
      <c r="D671" s="104"/>
      <c r="E671" s="104"/>
      <c r="G671" s="14"/>
      <c r="H671" s="14"/>
      <c r="I671" s="14"/>
    </row>
    <row r="672">
      <c r="D672" s="104"/>
      <c r="E672" s="104"/>
      <c r="G672" s="14"/>
      <c r="H672" s="14"/>
      <c r="I672" s="14"/>
    </row>
    <row r="673">
      <c r="D673" s="104"/>
      <c r="E673" s="104"/>
      <c r="G673" s="14"/>
      <c r="H673" s="14"/>
      <c r="I673" s="14"/>
    </row>
    <row r="674">
      <c r="D674" s="104"/>
      <c r="E674" s="104"/>
      <c r="G674" s="14"/>
      <c r="H674" s="14"/>
      <c r="I674" s="14"/>
    </row>
    <row r="675">
      <c r="D675" s="104"/>
      <c r="E675" s="104"/>
      <c r="G675" s="14"/>
      <c r="H675" s="14"/>
      <c r="I675" s="14"/>
    </row>
    <row r="676">
      <c r="D676" s="104"/>
      <c r="E676" s="104"/>
      <c r="G676" s="14"/>
      <c r="H676" s="14"/>
      <c r="I676" s="14"/>
    </row>
    <row r="677">
      <c r="D677" s="104"/>
      <c r="E677" s="104"/>
      <c r="G677" s="14"/>
      <c r="H677" s="14"/>
      <c r="I677" s="14"/>
    </row>
    <row r="678">
      <c r="D678" s="104"/>
      <c r="E678" s="104"/>
      <c r="G678" s="14"/>
      <c r="H678" s="14"/>
      <c r="I678" s="14"/>
    </row>
    <row r="679">
      <c r="D679" s="104"/>
      <c r="E679" s="104"/>
      <c r="G679" s="14"/>
      <c r="H679" s="14"/>
      <c r="I679" s="14"/>
    </row>
    <row r="680">
      <c r="D680" s="104"/>
      <c r="E680" s="104"/>
      <c r="G680" s="14"/>
      <c r="H680" s="14"/>
      <c r="I680" s="14"/>
    </row>
    <row r="681">
      <c r="D681" s="104"/>
      <c r="E681" s="104"/>
      <c r="G681" s="14"/>
      <c r="H681" s="14"/>
      <c r="I681" s="14"/>
    </row>
    <row r="682">
      <c r="D682" s="104"/>
      <c r="E682" s="104"/>
      <c r="G682" s="14"/>
      <c r="H682" s="14"/>
      <c r="I682" s="14"/>
    </row>
    <row r="683">
      <c r="D683" s="104"/>
      <c r="E683" s="104"/>
      <c r="G683" s="14"/>
      <c r="H683" s="14"/>
      <c r="I683" s="14"/>
    </row>
    <row r="684">
      <c r="D684" s="104"/>
      <c r="E684" s="104"/>
      <c r="G684" s="14"/>
      <c r="H684" s="14"/>
      <c r="I684" s="14"/>
    </row>
    <row r="685">
      <c r="D685" s="104"/>
      <c r="E685" s="104"/>
      <c r="G685" s="14"/>
      <c r="H685" s="14"/>
      <c r="I685" s="14"/>
    </row>
    <row r="686">
      <c r="D686" s="104"/>
      <c r="E686" s="104"/>
      <c r="G686" s="14"/>
      <c r="H686" s="14"/>
      <c r="I686" s="14"/>
    </row>
    <row r="687">
      <c r="D687" s="104"/>
      <c r="E687" s="104"/>
      <c r="G687" s="14"/>
      <c r="H687" s="14"/>
      <c r="I687" s="14"/>
    </row>
    <row r="688">
      <c r="D688" s="104"/>
      <c r="E688" s="104"/>
      <c r="G688" s="14"/>
      <c r="H688" s="14"/>
      <c r="I688" s="14"/>
    </row>
    <row r="689">
      <c r="D689" s="104"/>
      <c r="E689" s="104"/>
      <c r="G689" s="14"/>
      <c r="H689" s="14"/>
      <c r="I689" s="14"/>
    </row>
    <row r="690">
      <c r="D690" s="104"/>
      <c r="E690" s="104"/>
      <c r="G690" s="14"/>
      <c r="H690" s="14"/>
      <c r="I690" s="14"/>
    </row>
    <row r="691">
      <c r="D691" s="104"/>
      <c r="E691" s="104"/>
      <c r="G691" s="14"/>
      <c r="H691" s="14"/>
      <c r="I691" s="14"/>
    </row>
    <row r="692">
      <c r="D692" s="104"/>
      <c r="E692" s="104"/>
      <c r="G692" s="14"/>
      <c r="H692" s="14"/>
      <c r="I692" s="14"/>
    </row>
    <row r="693">
      <c r="D693" s="104"/>
      <c r="E693" s="104"/>
      <c r="G693" s="14"/>
      <c r="H693" s="14"/>
      <c r="I693" s="14"/>
    </row>
    <row r="694">
      <c r="D694" s="104"/>
      <c r="E694" s="104"/>
      <c r="G694" s="14"/>
      <c r="H694" s="14"/>
      <c r="I694" s="14"/>
    </row>
    <row r="695">
      <c r="D695" s="104"/>
      <c r="E695" s="104"/>
      <c r="G695" s="14"/>
      <c r="H695" s="14"/>
      <c r="I695" s="14"/>
    </row>
    <row r="696">
      <c r="D696" s="104"/>
      <c r="E696" s="104"/>
      <c r="G696" s="14"/>
      <c r="H696" s="14"/>
      <c r="I696" s="14"/>
    </row>
    <row r="697">
      <c r="D697" s="104"/>
      <c r="E697" s="104"/>
      <c r="G697" s="14"/>
      <c r="H697" s="14"/>
      <c r="I697" s="14"/>
    </row>
    <row r="698">
      <c r="D698" s="104"/>
      <c r="E698" s="104"/>
      <c r="G698" s="14"/>
      <c r="H698" s="14"/>
      <c r="I698" s="14"/>
    </row>
    <row r="699">
      <c r="D699" s="104"/>
      <c r="E699" s="104"/>
      <c r="G699" s="14"/>
      <c r="H699" s="14"/>
      <c r="I699" s="14"/>
    </row>
    <row r="700">
      <c r="D700" s="104"/>
      <c r="E700" s="104"/>
      <c r="G700" s="14"/>
      <c r="H700" s="14"/>
      <c r="I700" s="14"/>
    </row>
    <row r="701">
      <c r="D701" s="104"/>
      <c r="E701" s="104"/>
      <c r="G701" s="14"/>
      <c r="H701" s="14"/>
      <c r="I701" s="14"/>
    </row>
    <row r="702">
      <c r="D702" s="104"/>
      <c r="E702" s="104"/>
      <c r="G702" s="14"/>
      <c r="H702" s="14"/>
      <c r="I702" s="14"/>
    </row>
    <row r="703">
      <c r="D703" s="104"/>
      <c r="E703" s="104"/>
      <c r="G703" s="14"/>
      <c r="H703" s="14"/>
      <c r="I703" s="14"/>
    </row>
    <row r="704">
      <c r="D704" s="104"/>
      <c r="E704" s="104"/>
      <c r="G704" s="14"/>
      <c r="H704" s="14"/>
      <c r="I704" s="14"/>
    </row>
    <row r="705">
      <c r="D705" s="104"/>
      <c r="E705" s="104"/>
      <c r="G705" s="14"/>
      <c r="H705" s="14"/>
      <c r="I705" s="14"/>
    </row>
    <row r="706">
      <c r="D706" s="104"/>
      <c r="E706" s="104"/>
      <c r="G706" s="14"/>
      <c r="H706" s="14"/>
      <c r="I706" s="14"/>
    </row>
    <row r="707">
      <c r="D707" s="104"/>
      <c r="E707" s="104"/>
      <c r="G707" s="14"/>
      <c r="H707" s="14"/>
      <c r="I707" s="14"/>
    </row>
    <row r="708">
      <c r="D708" s="104"/>
      <c r="E708" s="104"/>
      <c r="G708" s="14"/>
      <c r="H708" s="14"/>
      <c r="I708" s="14"/>
    </row>
    <row r="709">
      <c r="D709" s="104"/>
      <c r="E709" s="104"/>
      <c r="G709" s="14"/>
      <c r="H709" s="14"/>
      <c r="I709" s="14"/>
    </row>
    <row r="710">
      <c r="D710" s="104"/>
      <c r="E710" s="104"/>
      <c r="G710" s="14"/>
      <c r="H710" s="14"/>
      <c r="I710" s="14"/>
    </row>
    <row r="711">
      <c r="D711" s="104"/>
      <c r="E711" s="104"/>
      <c r="G711" s="14"/>
      <c r="H711" s="14"/>
      <c r="I711" s="14"/>
    </row>
    <row r="712">
      <c r="D712" s="104"/>
      <c r="E712" s="104"/>
      <c r="G712" s="14"/>
      <c r="H712" s="14"/>
      <c r="I712" s="14"/>
    </row>
    <row r="713">
      <c r="D713" s="104"/>
      <c r="E713" s="104"/>
      <c r="G713" s="14"/>
      <c r="H713" s="14"/>
      <c r="I713" s="14"/>
    </row>
    <row r="714">
      <c r="D714" s="104"/>
      <c r="E714" s="104"/>
      <c r="G714" s="14"/>
      <c r="H714" s="14"/>
      <c r="I714" s="14"/>
    </row>
    <row r="715">
      <c r="D715" s="104"/>
      <c r="E715" s="104"/>
      <c r="G715" s="14"/>
      <c r="H715" s="14"/>
      <c r="I715" s="14"/>
    </row>
    <row r="716">
      <c r="D716" s="104"/>
      <c r="E716" s="104"/>
      <c r="G716" s="14"/>
      <c r="H716" s="14"/>
      <c r="I716" s="14"/>
    </row>
    <row r="717">
      <c r="D717" s="104"/>
      <c r="E717" s="104"/>
      <c r="G717" s="14"/>
      <c r="H717" s="14"/>
      <c r="I717" s="14"/>
    </row>
    <row r="718">
      <c r="D718" s="104"/>
      <c r="E718" s="104"/>
      <c r="G718" s="14"/>
      <c r="H718" s="14"/>
      <c r="I718" s="14"/>
    </row>
    <row r="719">
      <c r="D719" s="104"/>
      <c r="E719" s="104"/>
      <c r="G719" s="14"/>
      <c r="H719" s="14"/>
      <c r="I719" s="14"/>
    </row>
    <row r="720">
      <c r="D720" s="104"/>
      <c r="E720" s="104"/>
      <c r="G720" s="14"/>
      <c r="H720" s="14"/>
      <c r="I720" s="14"/>
    </row>
    <row r="721">
      <c r="D721" s="104"/>
      <c r="E721" s="104"/>
      <c r="G721" s="14"/>
      <c r="H721" s="14"/>
      <c r="I721" s="14"/>
    </row>
    <row r="722">
      <c r="D722" s="104"/>
      <c r="E722" s="104"/>
      <c r="G722" s="14"/>
      <c r="H722" s="14"/>
      <c r="I722" s="14"/>
    </row>
    <row r="723">
      <c r="D723" s="104"/>
      <c r="E723" s="104"/>
      <c r="G723" s="14"/>
      <c r="H723" s="14"/>
      <c r="I723" s="14"/>
    </row>
    <row r="724">
      <c r="D724" s="104"/>
      <c r="E724" s="104"/>
      <c r="G724" s="14"/>
      <c r="H724" s="14"/>
      <c r="I724" s="14"/>
    </row>
    <row r="725">
      <c r="D725" s="104"/>
      <c r="E725" s="104"/>
      <c r="G725" s="14"/>
      <c r="H725" s="14"/>
      <c r="I725" s="14"/>
    </row>
    <row r="726">
      <c r="D726" s="104"/>
      <c r="E726" s="104"/>
      <c r="G726" s="14"/>
      <c r="H726" s="14"/>
      <c r="I726" s="14"/>
    </row>
    <row r="727">
      <c r="D727" s="104"/>
      <c r="E727" s="104"/>
      <c r="G727" s="14"/>
      <c r="H727" s="14"/>
      <c r="I727" s="14"/>
    </row>
    <row r="728">
      <c r="D728" s="104"/>
      <c r="E728" s="104"/>
      <c r="G728" s="14"/>
      <c r="H728" s="14"/>
      <c r="I728" s="14"/>
    </row>
    <row r="729">
      <c r="D729" s="104"/>
      <c r="E729" s="104"/>
      <c r="G729" s="14"/>
      <c r="H729" s="14"/>
      <c r="I729" s="14"/>
    </row>
    <row r="730">
      <c r="D730" s="104"/>
      <c r="E730" s="104"/>
      <c r="G730" s="14"/>
      <c r="H730" s="14"/>
      <c r="I730" s="14"/>
    </row>
    <row r="731">
      <c r="D731" s="104"/>
      <c r="E731" s="104"/>
      <c r="G731" s="14"/>
      <c r="H731" s="14"/>
      <c r="I731" s="14"/>
    </row>
    <row r="732">
      <c r="D732" s="104"/>
      <c r="E732" s="104"/>
      <c r="G732" s="14"/>
      <c r="H732" s="14"/>
      <c r="I732" s="14"/>
    </row>
    <row r="733">
      <c r="D733" s="104"/>
      <c r="E733" s="104"/>
      <c r="G733" s="14"/>
      <c r="H733" s="14"/>
      <c r="I733" s="14"/>
    </row>
    <row r="734">
      <c r="D734" s="104"/>
      <c r="E734" s="104"/>
      <c r="G734" s="14"/>
      <c r="H734" s="14"/>
      <c r="I734" s="14"/>
    </row>
    <row r="735">
      <c r="D735" s="104"/>
      <c r="E735" s="104"/>
      <c r="G735" s="14"/>
      <c r="H735" s="14"/>
      <c r="I735" s="14"/>
    </row>
    <row r="736">
      <c r="D736" s="104"/>
      <c r="E736" s="104"/>
      <c r="G736" s="14"/>
      <c r="H736" s="14"/>
      <c r="I736" s="14"/>
    </row>
    <row r="737">
      <c r="D737" s="104"/>
      <c r="E737" s="104"/>
      <c r="G737" s="14"/>
      <c r="H737" s="14"/>
      <c r="I737" s="14"/>
    </row>
    <row r="738">
      <c r="D738" s="104"/>
      <c r="E738" s="104"/>
      <c r="G738" s="14"/>
      <c r="H738" s="14"/>
      <c r="I738" s="14"/>
    </row>
    <row r="739">
      <c r="D739" s="104"/>
      <c r="E739" s="104"/>
      <c r="G739" s="14"/>
      <c r="H739" s="14"/>
      <c r="I739" s="14"/>
    </row>
    <row r="740">
      <c r="D740" s="104"/>
      <c r="E740" s="104"/>
      <c r="G740" s="14"/>
      <c r="H740" s="14"/>
      <c r="I740" s="14"/>
    </row>
    <row r="741">
      <c r="D741" s="104"/>
      <c r="E741" s="104"/>
      <c r="G741" s="14"/>
      <c r="H741" s="14"/>
      <c r="I741" s="14"/>
    </row>
    <row r="742">
      <c r="D742" s="104"/>
      <c r="E742" s="104"/>
      <c r="G742" s="14"/>
      <c r="H742" s="14"/>
      <c r="I742" s="14"/>
    </row>
    <row r="743">
      <c r="D743" s="104"/>
      <c r="E743" s="104"/>
      <c r="G743" s="14"/>
      <c r="H743" s="14"/>
      <c r="I743" s="14"/>
    </row>
    <row r="744">
      <c r="D744" s="104"/>
      <c r="E744" s="104"/>
      <c r="G744" s="14"/>
      <c r="H744" s="14"/>
      <c r="I744" s="14"/>
    </row>
    <row r="745">
      <c r="D745" s="104"/>
      <c r="E745" s="104"/>
      <c r="G745" s="14"/>
      <c r="H745" s="14"/>
      <c r="I745" s="14"/>
    </row>
    <row r="746">
      <c r="D746" s="104"/>
      <c r="E746" s="104"/>
      <c r="G746" s="14"/>
      <c r="H746" s="14"/>
      <c r="I746" s="14"/>
    </row>
    <row r="747">
      <c r="D747" s="104"/>
      <c r="E747" s="104"/>
      <c r="G747" s="14"/>
      <c r="H747" s="14"/>
      <c r="I747" s="14"/>
    </row>
    <row r="748">
      <c r="D748" s="104"/>
      <c r="E748" s="104"/>
      <c r="G748" s="14"/>
      <c r="H748" s="14"/>
      <c r="I748" s="14"/>
    </row>
    <row r="749">
      <c r="D749" s="104"/>
      <c r="E749" s="104"/>
      <c r="G749" s="14"/>
      <c r="H749" s="14"/>
      <c r="I749" s="14"/>
    </row>
    <row r="750">
      <c r="D750" s="104"/>
      <c r="E750" s="104"/>
      <c r="G750" s="14"/>
      <c r="H750" s="14"/>
      <c r="I750" s="14"/>
    </row>
    <row r="751">
      <c r="D751" s="104"/>
      <c r="E751" s="104"/>
      <c r="G751" s="14"/>
      <c r="H751" s="14"/>
      <c r="I751" s="14"/>
    </row>
    <row r="752">
      <c r="D752" s="104"/>
      <c r="E752" s="104"/>
      <c r="G752" s="14"/>
      <c r="H752" s="14"/>
      <c r="I752" s="14"/>
    </row>
    <row r="753">
      <c r="D753" s="104"/>
      <c r="E753" s="104"/>
      <c r="G753" s="14"/>
      <c r="H753" s="14"/>
      <c r="I753" s="14"/>
    </row>
    <row r="754">
      <c r="D754" s="104"/>
      <c r="E754" s="104"/>
      <c r="G754" s="14"/>
      <c r="H754" s="14"/>
      <c r="I754" s="14"/>
    </row>
    <row r="755">
      <c r="D755" s="104"/>
      <c r="E755" s="104"/>
      <c r="G755" s="14"/>
      <c r="H755" s="14"/>
      <c r="I755" s="14"/>
    </row>
    <row r="756">
      <c r="D756" s="104"/>
      <c r="E756" s="104"/>
      <c r="G756" s="14"/>
      <c r="H756" s="14"/>
      <c r="I756" s="14"/>
    </row>
    <row r="757">
      <c r="D757" s="104"/>
      <c r="E757" s="104"/>
      <c r="G757" s="14"/>
      <c r="H757" s="14"/>
      <c r="I757" s="14"/>
    </row>
    <row r="758">
      <c r="D758" s="104"/>
      <c r="E758" s="104"/>
      <c r="G758" s="14"/>
      <c r="H758" s="14"/>
      <c r="I758" s="14"/>
    </row>
    <row r="759">
      <c r="D759" s="104"/>
      <c r="E759" s="104"/>
      <c r="G759" s="14"/>
      <c r="H759" s="14"/>
      <c r="I759" s="14"/>
    </row>
    <row r="760">
      <c r="D760" s="104"/>
      <c r="E760" s="104"/>
      <c r="G760" s="14"/>
      <c r="H760" s="14"/>
      <c r="I760" s="14"/>
    </row>
    <row r="761">
      <c r="D761" s="104"/>
      <c r="E761" s="104"/>
      <c r="G761" s="14"/>
      <c r="H761" s="14"/>
      <c r="I761" s="14"/>
    </row>
    <row r="762">
      <c r="D762" s="104"/>
      <c r="E762" s="104"/>
      <c r="G762" s="14"/>
      <c r="H762" s="14"/>
      <c r="I762" s="14"/>
    </row>
    <row r="763">
      <c r="D763" s="104"/>
      <c r="E763" s="104"/>
      <c r="G763" s="14"/>
      <c r="H763" s="14"/>
      <c r="I763" s="14"/>
    </row>
    <row r="764">
      <c r="D764" s="104"/>
      <c r="E764" s="104"/>
      <c r="G764" s="14"/>
      <c r="H764" s="14"/>
      <c r="I764" s="14"/>
    </row>
    <row r="765">
      <c r="D765" s="104"/>
      <c r="E765" s="104"/>
      <c r="G765" s="14"/>
      <c r="H765" s="14"/>
      <c r="I765" s="14"/>
    </row>
    <row r="766">
      <c r="D766" s="104"/>
      <c r="E766" s="104"/>
      <c r="G766" s="14"/>
      <c r="H766" s="14"/>
      <c r="I766" s="14"/>
    </row>
    <row r="767">
      <c r="D767" s="104"/>
      <c r="E767" s="104"/>
      <c r="G767" s="14"/>
      <c r="H767" s="14"/>
      <c r="I767" s="14"/>
    </row>
    <row r="768">
      <c r="D768" s="104"/>
      <c r="E768" s="104"/>
      <c r="G768" s="14"/>
      <c r="H768" s="14"/>
      <c r="I768" s="14"/>
    </row>
    <row r="769">
      <c r="D769" s="104"/>
      <c r="E769" s="104"/>
      <c r="G769" s="14"/>
      <c r="H769" s="14"/>
      <c r="I769" s="14"/>
    </row>
    <row r="770">
      <c r="D770" s="104"/>
      <c r="E770" s="104"/>
      <c r="G770" s="14"/>
      <c r="H770" s="14"/>
      <c r="I770" s="14"/>
    </row>
    <row r="771">
      <c r="D771" s="104"/>
      <c r="E771" s="104"/>
      <c r="G771" s="14"/>
      <c r="H771" s="14"/>
      <c r="I771" s="14"/>
    </row>
    <row r="772">
      <c r="D772" s="104"/>
      <c r="E772" s="104"/>
      <c r="G772" s="14"/>
      <c r="H772" s="14"/>
      <c r="I772" s="14"/>
    </row>
    <row r="773">
      <c r="D773" s="104"/>
      <c r="E773" s="104"/>
      <c r="G773" s="14"/>
      <c r="H773" s="14"/>
      <c r="I773" s="14"/>
    </row>
    <row r="774">
      <c r="D774" s="104"/>
      <c r="E774" s="104"/>
      <c r="G774" s="14"/>
      <c r="H774" s="14"/>
      <c r="I774" s="14"/>
    </row>
    <row r="775">
      <c r="D775" s="104"/>
      <c r="E775" s="104"/>
      <c r="G775" s="14"/>
      <c r="H775" s="14"/>
      <c r="I775" s="14"/>
    </row>
    <row r="776">
      <c r="D776" s="104"/>
      <c r="E776" s="104"/>
      <c r="G776" s="14"/>
      <c r="H776" s="14"/>
      <c r="I776" s="14"/>
    </row>
    <row r="777">
      <c r="D777" s="104"/>
      <c r="E777" s="104"/>
      <c r="G777" s="14"/>
      <c r="H777" s="14"/>
      <c r="I777" s="14"/>
    </row>
    <row r="778">
      <c r="D778" s="104"/>
      <c r="E778" s="104"/>
      <c r="G778" s="14"/>
      <c r="H778" s="14"/>
      <c r="I778" s="14"/>
    </row>
    <row r="779">
      <c r="D779" s="104"/>
      <c r="E779" s="104"/>
      <c r="G779" s="14"/>
      <c r="H779" s="14"/>
      <c r="I779" s="14"/>
    </row>
    <row r="780">
      <c r="D780" s="104"/>
      <c r="E780" s="104"/>
      <c r="G780" s="14"/>
      <c r="H780" s="14"/>
      <c r="I780" s="14"/>
    </row>
    <row r="781">
      <c r="D781" s="104"/>
      <c r="E781" s="104"/>
      <c r="G781" s="14"/>
      <c r="H781" s="14"/>
      <c r="I781" s="14"/>
    </row>
    <row r="782">
      <c r="D782" s="104"/>
      <c r="E782" s="104"/>
      <c r="G782" s="14"/>
      <c r="H782" s="14"/>
      <c r="I782" s="14"/>
    </row>
    <row r="783">
      <c r="D783" s="104"/>
      <c r="E783" s="104"/>
      <c r="G783" s="14"/>
      <c r="H783" s="14"/>
      <c r="I783" s="14"/>
    </row>
    <row r="784">
      <c r="D784" s="104"/>
      <c r="E784" s="104"/>
      <c r="G784" s="14"/>
      <c r="H784" s="14"/>
      <c r="I784" s="14"/>
    </row>
    <row r="785">
      <c r="D785" s="104"/>
      <c r="E785" s="104"/>
      <c r="G785" s="14"/>
      <c r="H785" s="14"/>
      <c r="I785" s="14"/>
    </row>
    <row r="786">
      <c r="D786" s="104"/>
      <c r="E786" s="104"/>
      <c r="G786" s="14"/>
      <c r="H786" s="14"/>
      <c r="I786" s="14"/>
    </row>
    <row r="787">
      <c r="D787" s="104"/>
      <c r="E787" s="104"/>
      <c r="G787" s="14"/>
      <c r="H787" s="14"/>
      <c r="I787" s="14"/>
    </row>
    <row r="788">
      <c r="D788" s="104"/>
      <c r="E788" s="104"/>
      <c r="G788" s="14"/>
      <c r="H788" s="14"/>
      <c r="I788" s="14"/>
    </row>
    <row r="789">
      <c r="D789" s="104"/>
      <c r="E789" s="104"/>
      <c r="G789" s="14"/>
      <c r="H789" s="14"/>
      <c r="I789" s="14"/>
    </row>
    <row r="790">
      <c r="D790" s="104"/>
      <c r="E790" s="104"/>
      <c r="G790" s="14"/>
      <c r="H790" s="14"/>
      <c r="I790" s="14"/>
    </row>
    <row r="791">
      <c r="D791" s="104"/>
      <c r="E791" s="104"/>
      <c r="G791" s="14"/>
      <c r="H791" s="14"/>
      <c r="I791" s="14"/>
    </row>
    <row r="792">
      <c r="D792" s="104"/>
      <c r="E792" s="104"/>
      <c r="G792" s="14"/>
      <c r="H792" s="14"/>
      <c r="I792" s="14"/>
    </row>
    <row r="793">
      <c r="D793" s="104"/>
      <c r="E793" s="104"/>
      <c r="G793" s="14"/>
      <c r="H793" s="14"/>
      <c r="I793" s="14"/>
    </row>
    <row r="794">
      <c r="D794" s="104"/>
      <c r="E794" s="104"/>
      <c r="G794" s="14"/>
      <c r="H794" s="14"/>
      <c r="I794" s="14"/>
    </row>
    <row r="795">
      <c r="D795" s="104"/>
      <c r="E795" s="104"/>
      <c r="G795" s="14"/>
      <c r="H795" s="14"/>
      <c r="I795" s="14"/>
    </row>
    <row r="796">
      <c r="D796" s="104"/>
      <c r="E796" s="104"/>
      <c r="G796" s="14"/>
      <c r="H796" s="14"/>
      <c r="I796" s="14"/>
    </row>
    <row r="797">
      <c r="D797" s="104"/>
      <c r="E797" s="104"/>
      <c r="G797" s="14"/>
      <c r="H797" s="14"/>
      <c r="I797" s="14"/>
    </row>
    <row r="798">
      <c r="D798" s="104"/>
      <c r="E798" s="104"/>
      <c r="G798" s="14"/>
      <c r="H798" s="14"/>
      <c r="I798" s="14"/>
    </row>
    <row r="799">
      <c r="D799" s="104"/>
      <c r="E799" s="104"/>
      <c r="G799" s="14"/>
      <c r="H799" s="14"/>
      <c r="I799" s="14"/>
    </row>
    <row r="800">
      <c r="D800" s="104"/>
      <c r="E800" s="104"/>
      <c r="G800" s="14"/>
      <c r="H800" s="14"/>
      <c r="I800" s="14"/>
    </row>
    <row r="801">
      <c r="D801" s="104"/>
      <c r="E801" s="104"/>
      <c r="G801" s="14"/>
      <c r="H801" s="14"/>
      <c r="I801" s="14"/>
    </row>
    <row r="802">
      <c r="D802" s="104"/>
      <c r="E802" s="104"/>
      <c r="G802" s="14"/>
      <c r="H802" s="14"/>
      <c r="I802" s="14"/>
    </row>
    <row r="803">
      <c r="D803" s="104"/>
      <c r="E803" s="104"/>
      <c r="G803" s="14"/>
      <c r="H803" s="14"/>
      <c r="I803" s="14"/>
    </row>
    <row r="804">
      <c r="D804" s="104"/>
      <c r="E804" s="104"/>
      <c r="G804" s="14"/>
      <c r="H804" s="14"/>
      <c r="I804" s="14"/>
    </row>
    <row r="805">
      <c r="D805" s="104"/>
      <c r="E805" s="104"/>
      <c r="G805" s="14"/>
      <c r="H805" s="14"/>
      <c r="I805" s="14"/>
    </row>
    <row r="806">
      <c r="D806" s="104"/>
      <c r="E806" s="104"/>
      <c r="G806" s="14"/>
      <c r="H806" s="14"/>
      <c r="I806" s="14"/>
    </row>
    <row r="807">
      <c r="D807" s="104"/>
      <c r="E807" s="104"/>
      <c r="G807" s="14"/>
      <c r="H807" s="14"/>
      <c r="I807" s="14"/>
    </row>
    <row r="808">
      <c r="D808" s="104"/>
      <c r="E808" s="104"/>
      <c r="G808" s="14"/>
      <c r="H808" s="14"/>
      <c r="I808" s="14"/>
    </row>
    <row r="809">
      <c r="D809" s="104"/>
      <c r="E809" s="104"/>
      <c r="G809" s="14"/>
      <c r="H809" s="14"/>
      <c r="I809" s="14"/>
    </row>
    <row r="810">
      <c r="D810" s="104"/>
      <c r="E810" s="104"/>
      <c r="G810" s="14"/>
      <c r="H810" s="14"/>
      <c r="I810" s="14"/>
    </row>
    <row r="811">
      <c r="D811" s="104"/>
      <c r="E811" s="104"/>
      <c r="G811" s="14"/>
      <c r="H811" s="14"/>
      <c r="I811" s="14"/>
    </row>
    <row r="812">
      <c r="D812" s="104"/>
      <c r="E812" s="104"/>
      <c r="G812" s="14"/>
      <c r="H812" s="14"/>
      <c r="I812" s="14"/>
    </row>
    <row r="813">
      <c r="D813" s="104"/>
      <c r="E813" s="104"/>
      <c r="G813" s="14"/>
      <c r="H813" s="14"/>
      <c r="I813" s="14"/>
    </row>
    <row r="814">
      <c r="D814" s="104"/>
      <c r="E814" s="104"/>
      <c r="G814" s="14"/>
      <c r="H814" s="14"/>
      <c r="I814" s="14"/>
    </row>
    <row r="815">
      <c r="D815" s="104"/>
      <c r="E815" s="104"/>
      <c r="G815" s="14"/>
      <c r="H815" s="14"/>
      <c r="I815" s="14"/>
    </row>
    <row r="816">
      <c r="D816" s="104"/>
      <c r="E816" s="104"/>
      <c r="G816" s="14"/>
      <c r="H816" s="14"/>
      <c r="I816" s="14"/>
    </row>
    <row r="817">
      <c r="D817" s="104"/>
      <c r="E817" s="104"/>
      <c r="G817" s="14"/>
      <c r="H817" s="14"/>
      <c r="I817" s="14"/>
    </row>
    <row r="818">
      <c r="D818" s="104"/>
      <c r="E818" s="104"/>
      <c r="G818" s="14"/>
      <c r="H818" s="14"/>
      <c r="I818" s="14"/>
    </row>
    <row r="819">
      <c r="D819" s="104"/>
      <c r="E819" s="104"/>
      <c r="G819" s="14"/>
      <c r="H819" s="14"/>
      <c r="I819" s="14"/>
    </row>
    <row r="820">
      <c r="D820" s="104"/>
      <c r="E820" s="104"/>
      <c r="G820" s="14"/>
      <c r="H820" s="14"/>
      <c r="I820" s="14"/>
    </row>
    <row r="821">
      <c r="D821" s="104"/>
      <c r="E821" s="104"/>
      <c r="G821" s="14"/>
      <c r="H821" s="14"/>
      <c r="I821" s="14"/>
    </row>
    <row r="822">
      <c r="D822" s="104"/>
      <c r="E822" s="104"/>
      <c r="G822" s="14"/>
      <c r="H822" s="14"/>
      <c r="I822" s="14"/>
    </row>
    <row r="823">
      <c r="D823" s="104"/>
      <c r="E823" s="104"/>
      <c r="G823" s="14"/>
      <c r="H823" s="14"/>
      <c r="I823" s="14"/>
    </row>
    <row r="824">
      <c r="D824" s="104"/>
      <c r="E824" s="104"/>
      <c r="G824" s="14"/>
      <c r="H824" s="14"/>
      <c r="I824" s="14"/>
    </row>
    <row r="825">
      <c r="D825" s="104"/>
      <c r="E825" s="104"/>
      <c r="G825" s="14"/>
      <c r="H825" s="14"/>
      <c r="I825" s="14"/>
    </row>
    <row r="826">
      <c r="D826" s="104"/>
      <c r="E826" s="104"/>
      <c r="G826" s="14"/>
      <c r="H826" s="14"/>
      <c r="I826" s="14"/>
    </row>
    <row r="827">
      <c r="D827" s="104"/>
      <c r="E827" s="104"/>
      <c r="G827" s="14"/>
      <c r="H827" s="14"/>
      <c r="I827" s="14"/>
    </row>
    <row r="828">
      <c r="D828" s="104"/>
      <c r="E828" s="104"/>
      <c r="G828" s="14"/>
      <c r="H828" s="14"/>
      <c r="I828" s="14"/>
    </row>
    <row r="829">
      <c r="D829" s="104"/>
      <c r="E829" s="104"/>
      <c r="G829" s="14"/>
      <c r="H829" s="14"/>
      <c r="I829" s="14"/>
    </row>
    <row r="830">
      <c r="D830" s="104"/>
      <c r="E830" s="104"/>
      <c r="G830" s="14"/>
      <c r="H830" s="14"/>
      <c r="I830" s="14"/>
    </row>
    <row r="831">
      <c r="D831" s="104"/>
      <c r="E831" s="104"/>
      <c r="G831" s="14"/>
      <c r="H831" s="14"/>
      <c r="I831" s="14"/>
    </row>
    <row r="832">
      <c r="D832" s="104"/>
      <c r="E832" s="104"/>
      <c r="G832" s="14"/>
      <c r="H832" s="14"/>
      <c r="I832" s="14"/>
    </row>
    <row r="833">
      <c r="D833" s="104"/>
      <c r="E833" s="104"/>
      <c r="G833" s="14"/>
      <c r="H833" s="14"/>
      <c r="I833" s="14"/>
    </row>
    <row r="834">
      <c r="D834" s="104"/>
      <c r="E834" s="104"/>
      <c r="G834" s="14"/>
      <c r="H834" s="14"/>
      <c r="I834" s="14"/>
    </row>
    <row r="835">
      <c r="D835" s="104"/>
      <c r="E835" s="104"/>
      <c r="G835" s="14"/>
      <c r="H835" s="14"/>
      <c r="I835" s="14"/>
    </row>
    <row r="836">
      <c r="D836" s="104"/>
      <c r="E836" s="104"/>
      <c r="G836" s="14"/>
      <c r="H836" s="14"/>
      <c r="I836" s="14"/>
    </row>
    <row r="837">
      <c r="D837" s="104"/>
      <c r="E837" s="104"/>
      <c r="G837" s="14"/>
      <c r="H837" s="14"/>
      <c r="I837" s="14"/>
    </row>
    <row r="838">
      <c r="D838" s="104"/>
      <c r="E838" s="104"/>
      <c r="G838" s="14"/>
      <c r="H838" s="14"/>
      <c r="I838" s="14"/>
    </row>
    <row r="839">
      <c r="D839" s="104"/>
      <c r="E839" s="104"/>
      <c r="G839" s="14"/>
      <c r="H839" s="14"/>
      <c r="I839" s="14"/>
    </row>
    <row r="840">
      <c r="D840" s="104"/>
      <c r="E840" s="104"/>
      <c r="G840" s="14"/>
      <c r="H840" s="14"/>
      <c r="I840" s="14"/>
    </row>
    <row r="841">
      <c r="D841" s="104"/>
      <c r="E841" s="104"/>
      <c r="G841" s="14"/>
      <c r="H841" s="14"/>
      <c r="I841" s="14"/>
    </row>
    <row r="842">
      <c r="D842" s="104"/>
      <c r="E842" s="104"/>
      <c r="G842" s="14"/>
      <c r="H842" s="14"/>
      <c r="I842" s="14"/>
    </row>
    <row r="843">
      <c r="D843" s="104"/>
      <c r="E843" s="104"/>
      <c r="G843" s="14"/>
      <c r="H843" s="14"/>
      <c r="I843" s="14"/>
    </row>
    <row r="844">
      <c r="D844" s="104"/>
      <c r="E844" s="104"/>
      <c r="G844" s="14"/>
      <c r="H844" s="14"/>
      <c r="I844" s="14"/>
    </row>
    <row r="845">
      <c r="D845" s="104"/>
      <c r="E845" s="104"/>
      <c r="G845" s="14"/>
      <c r="H845" s="14"/>
      <c r="I845" s="14"/>
    </row>
    <row r="846">
      <c r="D846" s="104"/>
      <c r="E846" s="104"/>
      <c r="G846" s="14"/>
      <c r="H846" s="14"/>
      <c r="I846" s="14"/>
    </row>
    <row r="847">
      <c r="D847" s="104"/>
      <c r="E847" s="104"/>
      <c r="G847" s="14"/>
      <c r="H847" s="14"/>
      <c r="I847" s="14"/>
    </row>
    <row r="848">
      <c r="D848" s="104"/>
      <c r="E848" s="104"/>
      <c r="G848" s="14"/>
      <c r="H848" s="14"/>
      <c r="I848" s="14"/>
    </row>
    <row r="849">
      <c r="D849" s="104"/>
      <c r="E849" s="104"/>
      <c r="G849" s="14"/>
      <c r="H849" s="14"/>
      <c r="I849" s="14"/>
    </row>
    <row r="850">
      <c r="D850" s="104"/>
      <c r="E850" s="104"/>
      <c r="G850" s="14"/>
      <c r="H850" s="14"/>
      <c r="I850" s="14"/>
    </row>
    <row r="851">
      <c r="D851" s="104"/>
      <c r="E851" s="104"/>
      <c r="G851" s="14"/>
      <c r="H851" s="14"/>
      <c r="I851" s="14"/>
    </row>
    <row r="852">
      <c r="D852" s="104"/>
      <c r="E852" s="104"/>
      <c r="G852" s="14"/>
      <c r="H852" s="14"/>
      <c r="I852" s="14"/>
    </row>
    <row r="853">
      <c r="D853" s="104"/>
      <c r="E853" s="104"/>
      <c r="G853" s="14"/>
      <c r="H853" s="14"/>
      <c r="I853" s="14"/>
    </row>
    <row r="854">
      <c r="D854" s="104"/>
      <c r="E854" s="104"/>
      <c r="G854" s="14"/>
      <c r="H854" s="14"/>
      <c r="I854" s="14"/>
    </row>
    <row r="855">
      <c r="D855" s="104"/>
      <c r="E855" s="104"/>
      <c r="G855" s="14"/>
      <c r="H855" s="14"/>
      <c r="I855" s="14"/>
    </row>
    <row r="856">
      <c r="D856" s="104"/>
      <c r="E856" s="104"/>
      <c r="G856" s="14"/>
      <c r="H856" s="14"/>
      <c r="I856" s="14"/>
    </row>
    <row r="857">
      <c r="D857" s="104"/>
      <c r="E857" s="104"/>
      <c r="G857" s="14"/>
      <c r="H857" s="14"/>
      <c r="I857" s="14"/>
    </row>
    <row r="858">
      <c r="D858" s="104"/>
      <c r="E858" s="104"/>
      <c r="G858" s="14"/>
      <c r="H858" s="14"/>
      <c r="I858" s="14"/>
    </row>
    <row r="859">
      <c r="D859" s="104"/>
      <c r="E859" s="104"/>
      <c r="G859" s="14"/>
      <c r="H859" s="14"/>
      <c r="I859" s="14"/>
    </row>
    <row r="860">
      <c r="D860" s="104"/>
      <c r="E860" s="104"/>
      <c r="G860" s="14"/>
      <c r="H860" s="14"/>
      <c r="I860" s="14"/>
    </row>
    <row r="861">
      <c r="D861" s="104"/>
      <c r="E861" s="104"/>
      <c r="G861" s="14"/>
      <c r="H861" s="14"/>
      <c r="I861" s="14"/>
    </row>
    <row r="862">
      <c r="D862" s="104"/>
      <c r="E862" s="104"/>
      <c r="G862" s="14"/>
      <c r="H862" s="14"/>
      <c r="I862" s="14"/>
    </row>
    <row r="863">
      <c r="D863" s="104"/>
      <c r="E863" s="104"/>
      <c r="G863" s="14"/>
      <c r="H863" s="14"/>
      <c r="I863" s="14"/>
    </row>
    <row r="864">
      <c r="D864" s="104"/>
      <c r="E864" s="104"/>
      <c r="G864" s="14"/>
      <c r="H864" s="14"/>
      <c r="I864" s="14"/>
    </row>
    <row r="865">
      <c r="D865" s="104"/>
      <c r="E865" s="104"/>
      <c r="G865" s="14"/>
      <c r="H865" s="14"/>
      <c r="I865" s="14"/>
    </row>
    <row r="866">
      <c r="D866" s="104"/>
      <c r="E866" s="104"/>
      <c r="G866" s="14"/>
      <c r="H866" s="14"/>
      <c r="I866" s="14"/>
    </row>
    <row r="867">
      <c r="D867" s="104"/>
      <c r="E867" s="104"/>
      <c r="G867" s="14"/>
      <c r="H867" s="14"/>
      <c r="I867" s="14"/>
    </row>
    <row r="868">
      <c r="D868" s="104"/>
      <c r="E868" s="104"/>
      <c r="G868" s="14"/>
      <c r="H868" s="14"/>
      <c r="I868" s="14"/>
    </row>
    <row r="869">
      <c r="D869" s="104"/>
      <c r="E869" s="104"/>
      <c r="G869" s="14"/>
      <c r="H869" s="14"/>
      <c r="I869" s="14"/>
    </row>
    <row r="870">
      <c r="D870" s="104"/>
      <c r="E870" s="104"/>
      <c r="G870" s="14"/>
      <c r="H870" s="14"/>
      <c r="I870" s="14"/>
    </row>
    <row r="871">
      <c r="D871" s="104"/>
      <c r="E871" s="104"/>
      <c r="G871" s="14"/>
      <c r="H871" s="14"/>
      <c r="I871" s="14"/>
    </row>
    <row r="872">
      <c r="D872" s="104"/>
      <c r="E872" s="104"/>
      <c r="G872" s="14"/>
      <c r="H872" s="14"/>
      <c r="I872" s="14"/>
    </row>
    <row r="873">
      <c r="D873" s="104"/>
      <c r="E873" s="104"/>
      <c r="G873" s="14"/>
      <c r="H873" s="14"/>
      <c r="I873" s="14"/>
    </row>
    <row r="874">
      <c r="D874" s="104"/>
      <c r="E874" s="104"/>
      <c r="G874" s="14"/>
      <c r="H874" s="14"/>
      <c r="I874" s="14"/>
    </row>
    <row r="875">
      <c r="D875" s="104"/>
      <c r="E875" s="104"/>
      <c r="G875" s="14"/>
      <c r="H875" s="14"/>
      <c r="I875" s="14"/>
    </row>
    <row r="876">
      <c r="D876" s="104"/>
      <c r="E876" s="104"/>
      <c r="G876" s="14"/>
      <c r="H876" s="14"/>
      <c r="I876" s="14"/>
    </row>
    <row r="877">
      <c r="D877" s="104"/>
      <c r="E877" s="104"/>
      <c r="G877" s="14"/>
      <c r="H877" s="14"/>
      <c r="I877" s="14"/>
    </row>
    <row r="878">
      <c r="D878" s="104"/>
      <c r="E878" s="104"/>
      <c r="G878" s="14"/>
      <c r="H878" s="14"/>
      <c r="I878" s="14"/>
    </row>
    <row r="879">
      <c r="D879" s="104"/>
      <c r="E879" s="104"/>
      <c r="G879" s="14"/>
      <c r="H879" s="14"/>
      <c r="I879" s="14"/>
    </row>
    <row r="880">
      <c r="D880" s="104"/>
      <c r="E880" s="104"/>
      <c r="G880" s="14"/>
      <c r="H880" s="14"/>
      <c r="I880" s="14"/>
    </row>
    <row r="881">
      <c r="D881" s="104"/>
      <c r="E881" s="104"/>
      <c r="G881" s="14"/>
      <c r="H881" s="14"/>
      <c r="I881" s="14"/>
    </row>
    <row r="882">
      <c r="D882" s="104"/>
      <c r="E882" s="104"/>
      <c r="G882" s="14"/>
      <c r="H882" s="14"/>
      <c r="I882" s="14"/>
    </row>
    <row r="883">
      <c r="D883" s="104"/>
      <c r="E883" s="104"/>
      <c r="G883" s="14"/>
      <c r="H883" s="14"/>
      <c r="I883" s="14"/>
    </row>
    <row r="884">
      <c r="D884" s="104"/>
      <c r="E884" s="104"/>
      <c r="G884" s="14"/>
      <c r="H884" s="14"/>
      <c r="I884" s="14"/>
    </row>
    <row r="885">
      <c r="D885" s="104"/>
      <c r="E885" s="104"/>
      <c r="G885" s="14"/>
      <c r="H885" s="14"/>
      <c r="I885" s="14"/>
    </row>
    <row r="886">
      <c r="D886" s="104"/>
      <c r="E886" s="104"/>
      <c r="G886" s="14"/>
      <c r="H886" s="14"/>
      <c r="I886" s="14"/>
    </row>
    <row r="887">
      <c r="D887" s="104"/>
      <c r="E887" s="104"/>
      <c r="G887" s="14"/>
      <c r="H887" s="14"/>
      <c r="I887" s="14"/>
    </row>
    <row r="888">
      <c r="D888" s="104"/>
      <c r="E888" s="104"/>
      <c r="G888" s="14"/>
      <c r="H888" s="14"/>
      <c r="I888" s="14"/>
    </row>
    <row r="889">
      <c r="D889" s="104"/>
      <c r="E889" s="104"/>
      <c r="G889" s="14"/>
      <c r="H889" s="14"/>
      <c r="I889" s="14"/>
    </row>
    <row r="890">
      <c r="D890" s="104"/>
      <c r="E890" s="104"/>
      <c r="G890" s="14"/>
      <c r="H890" s="14"/>
      <c r="I890" s="14"/>
    </row>
    <row r="891">
      <c r="D891" s="104"/>
      <c r="E891" s="104"/>
      <c r="G891" s="14"/>
      <c r="H891" s="14"/>
      <c r="I891" s="14"/>
    </row>
    <row r="892">
      <c r="D892" s="104"/>
      <c r="E892" s="104"/>
      <c r="G892" s="14"/>
      <c r="H892" s="14"/>
      <c r="I892" s="14"/>
    </row>
    <row r="893">
      <c r="D893" s="104"/>
      <c r="E893" s="104"/>
      <c r="G893" s="14"/>
      <c r="H893" s="14"/>
      <c r="I893" s="14"/>
    </row>
    <row r="894">
      <c r="D894" s="104"/>
      <c r="E894" s="104"/>
      <c r="G894" s="14"/>
      <c r="H894" s="14"/>
      <c r="I894" s="14"/>
    </row>
    <row r="895">
      <c r="D895" s="104"/>
      <c r="E895" s="104"/>
      <c r="G895" s="14"/>
      <c r="H895" s="14"/>
      <c r="I895" s="14"/>
    </row>
    <row r="896">
      <c r="D896" s="104"/>
      <c r="E896" s="104"/>
      <c r="G896" s="14"/>
      <c r="H896" s="14"/>
      <c r="I896" s="14"/>
    </row>
    <row r="897">
      <c r="D897" s="104"/>
      <c r="E897" s="104"/>
      <c r="G897" s="14"/>
      <c r="H897" s="14"/>
      <c r="I897" s="14"/>
    </row>
    <row r="898">
      <c r="D898" s="104"/>
      <c r="E898" s="104"/>
      <c r="G898" s="14"/>
      <c r="H898" s="14"/>
      <c r="I898" s="14"/>
    </row>
    <row r="899">
      <c r="D899" s="104"/>
      <c r="E899" s="104"/>
      <c r="G899" s="14"/>
      <c r="H899" s="14"/>
      <c r="I899" s="14"/>
    </row>
    <row r="900">
      <c r="D900" s="104"/>
      <c r="E900" s="104"/>
      <c r="G900" s="14"/>
      <c r="H900" s="14"/>
      <c r="I900" s="14"/>
    </row>
    <row r="901">
      <c r="D901" s="104"/>
      <c r="E901" s="104"/>
      <c r="G901" s="14"/>
      <c r="H901" s="14"/>
      <c r="I901" s="14"/>
    </row>
    <row r="902">
      <c r="D902" s="104"/>
      <c r="E902" s="104"/>
      <c r="G902" s="14"/>
      <c r="H902" s="14"/>
      <c r="I902" s="14"/>
    </row>
    <row r="903">
      <c r="D903" s="104"/>
      <c r="E903" s="104"/>
      <c r="G903" s="14"/>
      <c r="H903" s="14"/>
      <c r="I903" s="14"/>
    </row>
    <row r="904">
      <c r="D904" s="104"/>
      <c r="E904" s="104"/>
      <c r="G904" s="14"/>
      <c r="H904" s="14"/>
      <c r="I904" s="14"/>
    </row>
    <row r="905">
      <c r="D905" s="104"/>
      <c r="E905" s="104"/>
      <c r="G905" s="14"/>
      <c r="H905" s="14"/>
      <c r="I905" s="14"/>
    </row>
    <row r="906">
      <c r="D906" s="104"/>
      <c r="E906" s="104"/>
      <c r="G906" s="14"/>
      <c r="H906" s="14"/>
      <c r="I906" s="14"/>
    </row>
    <row r="907">
      <c r="D907" s="104"/>
      <c r="E907" s="104"/>
      <c r="G907" s="14"/>
      <c r="H907" s="14"/>
      <c r="I907" s="14"/>
    </row>
    <row r="908">
      <c r="D908" s="104"/>
      <c r="E908" s="104"/>
      <c r="G908" s="14"/>
      <c r="H908" s="14"/>
      <c r="I908" s="14"/>
    </row>
    <row r="909">
      <c r="D909" s="104"/>
      <c r="E909" s="104"/>
      <c r="G909" s="14"/>
      <c r="H909" s="14"/>
      <c r="I909" s="14"/>
    </row>
    <row r="910">
      <c r="D910" s="104"/>
      <c r="E910" s="104"/>
      <c r="G910" s="14"/>
      <c r="H910" s="14"/>
      <c r="I910" s="14"/>
    </row>
    <row r="911">
      <c r="D911" s="104"/>
      <c r="E911" s="104"/>
      <c r="G911" s="14"/>
      <c r="H911" s="14"/>
      <c r="I911" s="14"/>
    </row>
    <row r="912">
      <c r="D912" s="104"/>
      <c r="E912" s="104"/>
      <c r="G912" s="14"/>
      <c r="H912" s="14"/>
      <c r="I912" s="14"/>
    </row>
    <row r="913">
      <c r="D913" s="104"/>
      <c r="E913" s="104"/>
      <c r="G913" s="14"/>
      <c r="H913" s="14"/>
      <c r="I913" s="14"/>
    </row>
    <row r="914">
      <c r="D914" s="104"/>
      <c r="E914" s="104"/>
      <c r="G914" s="14"/>
      <c r="H914" s="14"/>
      <c r="I914" s="14"/>
    </row>
    <row r="915">
      <c r="D915" s="104"/>
      <c r="E915" s="104"/>
      <c r="G915" s="14"/>
      <c r="H915" s="14"/>
      <c r="I915" s="14"/>
    </row>
    <row r="916">
      <c r="D916" s="104"/>
      <c r="E916" s="104"/>
      <c r="G916" s="14"/>
      <c r="H916" s="14"/>
      <c r="I916" s="14"/>
    </row>
    <row r="917">
      <c r="D917" s="104"/>
      <c r="E917" s="104"/>
      <c r="G917" s="14"/>
      <c r="H917" s="14"/>
      <c r="I917" s="14"/>
    </row>
    <row r="918">
      <c r="D918" s="104"/>
      <c r="E918" s="104"/>
      <c r="G918" s="14"/>
      <c r="H918" s="14"/>
      <c r="I918" s="14"/>
    </row>
    <row r="919">
      <c r="D919" s="104"/>
      <c r="E919" s="104"/>
      <c r="G919" s="14"/>
      <c r="H919" s="14"/>
      <c r="I919" s="14"/>
    </row>
    <row r="920">
      <c r="D920" s="104"/>
      <c r="E920" s="104"/>
      <c r="G920" s="14"/>
      <c r="H920" s="14"/>
      <c r="I920" s="14"/>
    </row>
    <row r="921">
      <c r="D921" s="104"/>
      <c r="E921" s="104"/>
      <c r="G921" s="14"/>
      <c r="H921" s="14"/>
      <c r="I921" s="14"/>
    </row>
    <row r="922">
      <c r="D922" s="104"/>
      <c r="E922" s="104"/>
      <c r="G922" s="14"/>
      <c r="H922" s="14"/>
      <c r="I922" s="14"/>
    </row>
    <row r="923">
      <c r="D923" s="104"/>
      <c r="E923" s="104"/>
      <c r="G923" s="14"/>
      <c r="H923" s="14"/>
      <c r="I923" s="14"/>
    </row>
    <row r="924">
      <c r="D924" s="104"/>
      <c r="E924" s="104"/>
      <c r="G924" s="14"/>
      <c r="H924" s="14"/>
      <c r="I924" s="14"/>
    </row>
    <row r="925">
      <c r="D925" s="104"/>
      <c r="E925" s="104"/>
      <c r="G925" s="14"/>
      <c r="H925" s="14"/>
      <c r="I925" s="14"/>
    </row>
    <row r="926">
      <c r="D926" s="104"/>
      <c r="E926" s="104"/>
      <c r="G926" s="14"/>
      <c r="H926" s="14"/>
      <c r="I926" s="14"/>
    </row>
    <row r="927">
      <c r="D927" s="104"/>
      <c r="E927" s="104"/>
      <c r="G927" s="14"/>
      <c r="H927" s="14"/>
      <c r="I927" s="14"/>
    </row>
    <row r="928">
      <c r="D928" s="104"/>
      <c r="E928" s="104"/>
      <c r="G928" s="14"/>
      <c r="H928" s="14"/>
      <c r="I928" s="14"/>
    </row>
    <row r="929">
      <c r="D929" s="104"/>
      <c r="E929" s="104"/>
      <c r="G929" s="14"/>
      <c r="H929" s="14"/>
      <c r="I929" s="14"/>
    </row>
    <row r="930">
      <c r="D930" s="104"/>
      <c r="E930" s="104"/>
      <c r="G930" s="14"/>
      <c r="H930" s="14"/>
      <c r="I930" s="14"/>
    </row>
    <row r="931">
      <c r="D931" s="104"/>
      <c r="E931" s="104"/>
      <c r="G931" s="14"/>
      <c r="H931" s="14"/>
      <c r="I931" s="14"/>
    </row>
    <row r="932">
      <c r="D932" s="104"/>
      <c r="E932" s="104"/>
      <c r="G932" s="14"/>
      <c r="H932" s="14"/>
      <c r="I932" s="14"/>
    </row>
    <row r="933">
      <c r="D933" s="104"/>
      <c r="E933" s="104"/>
      <c r="G933" s="14"/>
      <c r="H933" s="14"/>
      <c r="I933" s="14"/>
    </row>
    <row r="934">
      <c r="D934" s="104"/>
      <c r="E934" s="104"/>
      <c r="G934" s="14"/>
      <c r="H934" s="14"/>
      <c r="I934" s="14"/>
    </row>
    <row r="935">
      <c r="D935" s="104"/>
      <c r="E935" s="104"/>
      <c r="G935" s="14"/>
      <c r="H935" s="14"/>
      <c r="I935" s="14"/>
    </row>
    <row r="936">
      <c r="D936" s="104"/>
      <c r="E936" s="104"/>
      <c r="G936" s="14"/>
      <c r="H936" s="14"/>
      <c r="I936" s="14"/>
    </row>
    <row r="937">
      <c r="D937" s="104"/>
      <c r="E937" s="104"/>
      <c r="G937" s="14"/>
      <c r="H937" s="14"/>
      <c r="I937" s="14"/>
    </row>
    <row r="938">
      <c r="D938" s="104"/>
      <c r="E938" s="104"/>
      <c r="G938" s="14"/>
      <c r="H938" s="14"/>
      <c r="I938" s="14"/>
    </row>
    <row r="939">
      <c r="D939" s="104"/>
      <c r="E939" s="104"/>
      <c r="G939" s="14"/>
      <c r="H939" s="14"/>
      <c r="I939" s="14"/>
    </row>
    <row r="940">
      <c r="D940" s="104"/>
      <c r="E940" s="104"/>
      <c r="G940" s="14"/>
      <c r="H940" s="14"/>
      <c r="I940" s="14"/>
    </row>
    <row r="941">
      <c r="D941" s="104"/>
      <c r="E941" s="104"/>
      <c r="G941" s="14"/>
      <c r="H941" s="14"/>
      <c r="I941" s="14"/>
    </row>
    <row r="942">
      <c r="D942" s="104"/>
      <c r="E942" s="104"/>
      <c r="G942" s="14"/>
      <c r="H942" s="14"/>
      <c r="I942" s="14"/>
    </row>
    <row r="943">
      <c r="D943" s="104"/>
      <c r="E943" s="104"/>
      <c r="G943" s="14"/>
      <c r="H943" s="14"/>
      <c r="I943" s="14"/>
    </row>
    <row r="944">
      <c r="D944" s="104"/>
      <c r="E944" s="104"/>
      <c r="G944" s="14"/>
      <c r="H944" s="14"/>
      <c r="I944" s="14"/>
    </row>
    <row r="945">
      <c r="D945" s="104"/>
      <c r="E945" s="104"/>
      <c r="G945" s="14"/>
      <c r="H945" s="14"/>
      <c r="I945" s="14"/>
    </row>
    <row r="946">
      <c r="D946" s="104"/>
      <c r="E946" s="104"/>
      <c r="G946" s="14"/>
      <c r="H946" s="14"/>
      <c r="I946" s="14"/>
    </row>
    <row r="947">
      <c r="D947" s="104"/>
      <c r="E947" s="104"/>
      <c r="G947" s="14"/>
      <c r="H947" s="14"/>
      <c r="I947" s="14"/>
    </row>
    <row r="948">
      <c r="D948" s="104"/>
      <c r="E948" s="104"/>
      <c r="G948" s="14"/>
      <c r="H948" s="14"/>
      <c r="I948" s="14"/>
    </row>
    <row r="949">
      <c r="D949" s="104"/>
      <c r="E949" s="104"/>
      <c r="G949" s="14"/>
      <c r="H949" s="14"/>
      <c r="I949" s="14"/>
    </row>
    <row r="950">
      <c r="D950" s="104"/>
      <c r="E950" s="104"/>
      <c r="G950" s="14"/>
      <c r="H950" s="14"/>
      <c r="I950" s="14"/>
    </row>
    <row r="951">
      <c r="D951" s="104"/>
      <c r="E951" s="104"/>
      <c r="G951" s="14"/>
      <c r="H951" s="14"/>
      <c r="I951" s="14"/>
    </row>
    <row r="952">
      <c r="D952" s="104"/>
      <c r="E952" s="104"/>
      <c r="G952" s="14"/>
      <c r="H952" s="14"/>
      <c r="I952" s="14"/>
    </row>
    <row r="953">
      <c r="D953" s="104"/>
      <c r="E953" s="104"/>
      <c r="G953" s="14"/>
      <c r="H953" s="14"/>
      <c r="I953" s="14"/>
    </row>
    <row r="954">
      <c r="D954" s="104"/>
      <c r="E954" s="104"/>
      <c r="G954" s="14"/>
      <c r="H954" s="14"/>
      <c r="I954" s="14"/>
    </row>
    <row r="955">
      <c r="D955" s="104"/>
      <c r="E955" s="104"/>
      <c r="G955" s="14"/>
      <c r="H955" s="14"/>
      <c r="I955" s="14"/>
    </row>
    <row r="956">
      <c r="D956" s="104"/>
      <c r="E956" s="104"/>
      <c r="G956" s="14"/>
      <c r="H956" s="14"/>
      <c r="I956" s="14"/>
    </row>
    <row r="957">
      <c r="D957" s="104"/>
      <c r="E957" s="104"/>
      <c r="G957" s="14"/>
      <c r="H957" s="14"/>
      <c r="I957" s="14"/>
    </row>
    <row r="958">
      <c r="D958" s="104"/>
      <c r="E958" s="104"/>
      <c r="G958" s="14"/>
      <c r="H958" s="14"/>
      <c r="I958" s="14"/>
    </row>
    <row r="959">
      <c r="D959" s="104"/>
      <c r="E959" s="104"/>
      <c r="G959" s="14"/>
      <c r="H959" s="14"/>
      <c r="I959" s="14"/>
    </row>
    <row r="960">
      <c r="D960" s="104"/>
      <c r="E960" s="104"/>
      <c r="G960" s="14"/>
      <c r="H960" s="14"/>
      <c r="I960" s="14"/>
    </row>
    <row r="961">
      <c r="D961" s="104"/>
      <c r="E961" s="104"/>
      <c r="G961" s="14"/>
      <c r="H961" s="14"/>
      <c r="I961" s="14"/>
    </row>
    <row r="962">
      <c r="D962" s="104"/>
      <c r="E962" s="104"/>
      <c r="G962" s="14"/>
      <c r="H962" s="14"/>
      <c r="I962" s="14"/>
    </row>
    <row r="963">
      <c r="D963" s="104"/>
      <c r="E963" s="104"/>
      <c r="G963" s="14"/>
      <c r="H963" s="14"/>
      <c r="I963" s="14"/>
    </row>
    <row r="964">
      <c r="D964" s="104"/>
      <c r="E964" s="104"/>
      <c r="G964" s="14"/>
      <c r="H964" s="14"/>
      <c r="I964" s="14"/>
    </row>
    <row r="965">
      <c r="D965" s="104"/>
      <c r="E965" s="104"/>
      <c r="G965" s="14"/>
      <c r="H965" s="14"/>
      <c r="I965" s="14"/>
    </row>
    <row r="966">
      <c r="D966" s="104"/>
      <c r="E966" s="104"/>
      <c r="G966" s="14"/>
      <c r="H966" s="14"/>
      <c r="I966" s="14"/>
    </row>
    <row r="967">
      <c r="D967" s="104"/>
      <c r="E967" s="104"/>
      <c r="G967" s="14"/>
      <c r="H967" s="14"/>
      <c r="I967" s="14"/>
    </row>
    <row r="968">
      <c r="D968" s="104"/>
      <c r="E968" s="104"/>
      <c r="G968" s="14"/>
      <c r="H968" s="14"/>
      <c r="I968" s="14"/>
    </row>
    <row r="969">
      <c r="D969" s="104"/>
      <c r="E969" s="104"/>
      <c r="G969" s="14"/>
      <c r="H969" s="14"/>
      <c r="I969" s="14"/>
    </row>
    <row r="970">
      <c r="D970" s="104"/>
      <c r="E970" s="104"/>
      <c r="G970" s="14"/>
      <c r="H970" s="14"/>
      <c r="I970" s="14"/>
    </row>
    <row r="971">
      <c r="D971" s="104"/>
      <c r="E971" s="104"/>
      <c r="G971" s="14"/>
      <c r="H971" s="14"/>
      <c r="I971" s="14"/>
    </row>
    <row r="972">
      <c r="D972" s="104"/>
      <c r="E972" s="104"/>
      <c r="G972" s="14"/>
      <c r="H972" s="14"/>
      <c r="I972" s="14"/>
    </row>
    <row r="973">
      <c r="D973" s="104"/>
      <c r="E973" s="104"/>
      <c r="G973" s="14"/>
      <c r="H973" s="14"/>
      <c r="I973" s="14"/>
    </row>
    <row r="974">
      <c r="D974" s="104"/>
      <c r="E974" s="104"/>
      <c r="G974" s="14"/>
      <c r="H974" s="14"/>
      <c r="I974" s="14"/>
    </row>
    <row r="975">
      <c r="D975" s="104"/>
      <c r="E975" s="104"/>
      <c r="G975" s="14"/>
      <c r="H975" s="14"/>
      <c r="I975" s="14"/>
    </row>
    <row r="976">
      <c r="D976" s="104"/>
      <c r="E976" s="104"/>
      <c r="G976" s="14"/>
      <c r="H976" s="14"/>
      <c r="I976" s="14"/>
    </row>
    <row r="977">
      <c r="D977" s="104"/>
      <c r="E977" s="104"/>
      <c r="G977" s="14"/>
      <c r="H977" s="14"/>
      <c r="I977" s="14"/>
    </row>
    <row r="978">
      <c r="D978" s="104"/>
      <c r="E978" s="104"/>
      <c r="G978" s="14"/>
      <c r="H978" s="14"/>
      <c r="I978" s="14"/>
    </row>
    <row r="979">
      <c r="D979" s="104"/>
      <c r="E979" s="104"/>
      <c r="G979" s="14"/>
      <c r="H979" s="14"/>
      <c r="I979" s="14"/>
    </row>
    <row r="980">
      <c r="D980" s="104"/>
      <c r="E980" s="104"/>
      <c r="G980" s="14"/>
      <c r="H980" s="14"/>
      <c r="I980" s="14"/>
    </row>
  </sheetData>
  <mergeCells count="28">
    <mergeCell ref="A1:F1"/>
    <mergeCell ref="A2:F2"/>
    <mergeCell ref="A3:F3"/>
    <mergeCell ref="A4:F4"/>
    <mergeCell ref="A204:F204"/>
    <mergeCell ref="A205:F205"/>
    <mergeCell ref="A206:F206"/>
    <mergeCell ref="A207:F207"/>
    <mergeCell ref="A315:F315"/>
    <mergeCell ref="A316:F316"/>
    <mergeCell ref="A317:F317"/>
    <mergeCell ref="A318:F318"/>
    <mergeCell ref="A382:F382"/>
    <mergeCell ref="A383:F383"/>
    <mergeCell ref="A555:F555"/>
    <mergeCell ref="A556:F556"/>
    <mergeCell ref="A557:F557"/>
    <mergeCell ref="A570:F570"/>
    <mergeCell ref="A571:F571"/>
    <mergeCell ref="A572:F572"/>
    <mergeCell ref="A573:F573"/>
    <mergeCell ref="A384:F384"/>
    <mergeCell ref="A385:F385"/>
    <mergeCell ref="A541:F541"/>
    <mergeCell ref="A542:F542"/>
    <mergeCell ref="A543:F543"/>
    <mergeCell ref="A544:F544"/>
    <mergeCell ref="A554:F554"/>
  </mergeCells>
  <drawing r:id="rId1"/>
</worksheet>
</file>